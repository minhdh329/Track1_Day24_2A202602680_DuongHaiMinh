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Hướng dẫn" sheetId="1" r:id="rId5"/>
    <sheet state="visible" name="0_Đầu vào" sheetId="2" r:id="rId6"/>
    <sheet state="visible" name="A_Tài chính căn bản" sheetId="3" r:id="rId7"/>
    <sheet state="visible" name="1_Chi phí mỗi việc" sheetId="4" r:id="rId8"/>
    <sheet state="visible" name="2_Định giá" sheetId="5" r:id="rId9"/>
    <sheet state="visible" name="3_Giả định" sheetId="6" r:id="rId10"/>
    <sheet state="visible" name="4_Chỉ số mỗi khách" sheetId="7" r:id="rId11"/>
    <sheet state="visible" name="5_Dòng tiền &amp; hiệu quả" sheetId="8" r:id="rId12"/>
    <sheet state="visible" name="6_Hiệu quả nội bộ" sheetId="9" r:id="rId13"/>
    <sheet state="visible" name="7_Quyết định" sheetId="10" r:id="rId14"/>
    <sheet state="visible" name="8_Thang điểm" sheetId="11" r:id="rId15"/>
    <sheet state="visible" name="9_Số tham khảo" sheetId="12" r:id="rId16"/>
  </sheets>
  <definedNames/>
  <calcPr/>
</workbook>
</file>

<file path=xl/sharedStrings.xml><?xml version="1.0" encoding="utf-8"?>
<sst xmlns="http://schemas.openxmlformats.org/spreadsheetml/2006/main" count="759" uniqueCount="628">
  <si>
    <t>0 · Nhiệm vụ 0: gom đầu vào — có thì tận dụng, chưa có thì làm mới (5 phút)</t>
  </si>
  <si>
    <t>CS9 · Kinh tế sản phẩm AI: chi phí, định giá, hiệu quả đầu tư — File thực hành</t>
  </si>
  <si>
    <t>A · Bài tập tài chính doanh nghiệp căn bản: lập ba báo cáo tài chính</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</si>
  <si>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</si>
  <si>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Ô tự kiểm tra: "Đạt" là ổn. "Xem lại", "Chưa đủ sốc" là câu hỏi để nhóm soát: sửa nếu nhập sai; nếu số đúng thì giữ nguyên và giải thích ở trang 7. Không chỉnh giả định chỉ để được "Đạt".</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</si>
  <si>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</si>
  <si>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Đánh dấu nhóm đã có hay chưa. Cả hai lối đi đều đủ điểm. Dùng số thật từ buổi trước được cộng tối đa 10 điểm.</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</si>
  <si>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</si>
  <si>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</si>
  <si>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Giá token: tra bảng giá chính thức của nhà cung cấp vào ngày làm bài, ghi tên mô hình và ngày tra. Tỷ giá: ghi nguồn và ngày. Trang 9 có sẵn một số số liệu đã kiểm chứng.</t>
  </si>
  <si>
    <t>Kịch bản xấu phải là cú sốc thật: tỷ lệ rời bỏ và chi phí có một khách tối thiểu gấp 1,5 lần kịch bản cơ sở (trang 3 tự kiểm tra).</t>
  </si>
  <si>
    <t>Có thể đã có từ buổi trước</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</si>
  <si>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</si>
  <si>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Công ty Trợ Lý Xanh bán trợ lý AI trả lời tin nhắn. Dưới đây là mọi giao dịch của 3 tháng đầu. Lập báo cáo kết quả kinh doanh, bảng cân đối kế toán và báo cáo lưu chuyển tiền tệ.</t>
  </si>
  <si>
    <t>Tên file nộp: [Nhom]_CS9.xlsx · Nộp lên VLearn khi hết Nhiệm vụ 4.</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</si>
  <si>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</si>
  <si>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</si>
  <si>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Nhóm đã có chưa?</t>
  </si>
  <si>
    <t>Nếu ĐÃ CÓ: dùng ở đâu</t>
  </si>
  <si>
    <t>Nếu CHƯA CÓ: làm gì</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</si>
  <si>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</si>
  <si>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Ghi chú (tên file, đường dẫn)</t>
  </si>
  <si>
    <t>Đơn vị tiền: trang A tính bằng TRIỆU đồng; từ trang 1 trở đi tính bằng ĐỒNG, riêng bảng độ nhạy ở trang 5 (dòng 56–68) ghi bằng triệu đồng.</t>
  </si>
  <si>
    <t>Mô hình hiệu quả đầu tư 3–6–12 tháng và tài liệu yêu cầu sản phẩm (Phase 1, Ngày 6)</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</si>
  <si>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</si>
  <si>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Chú thích màu:</t>
  </si>
  <si>
    <t>1 · Chi phí để AI làm xong 1 việc</t>
  </si>
  <si>
    <t>Ô điền giả định (không khóa)</t>
  </si>
  <si>
    <t>ĐỀ BÀI · Giao dịch 3 tháng đầu</t>
  </si>
  <si>
    <t>STT</t>
  </si>
  <si>
    <t>Ô công thức (tự tính, đã khóa)</t>
  </si>
  <si>
    <t>Giao dịch</t>
  </si>
  <si>
    <t>Tháng 1</t>
  </si>
  <si>
    <t>Tháng 2</t>
  </si>
  <si>
    <t>Tháng 3</t>
  </si>
  <si>
    <t>Ghi chú</t>
  </si>
  <si>
    <t>Bài 1 · Vào báo cáo kết quả? (Có / Không · vì sao)</t>
  </si>
  <si>
    <t>Làm phiên bản 2; so sánh con số cũ và mới ở trang 3–5</t>
  </si>
  <si>
    <t>Dựng mới trên file này</t>
  </si>
  <si>
    <t>'Việc' = 1 đơn vị công việc khách nhận được, ví dụ: 1 hội thoại được trả lời, 1 hồ sơ được đọc, 1 cuộc gọi.</t>
  </si>
  <si>
    <t>Chữ xám nghiêng ở cột Gợi ý: cách lấy số và giá trị bản mẫu (không cần điền)</t>
  </si>
  <si>
    <t>Bảng giám sát agent: token, chi phí theo ngày (Ngày 13)</t>
  </si>
  <si>
    <t>Lấy số lần gọi AI và token thật ở trang 1</t>
  </si>
  <si>
    <t>Chạy thử 5 câu hỏi, xem số token ở trang quản lý API (cách làm: trang 1, cột Gợi ý)</t>
  </si>
  <si>
    <t>Báo cáo đánh giá chất lượng (Ngày 14 hoặc buổi đánh giá Track 1)</t>
  </si>
  <si>
    <t>Chủ sở hữu góp vốn bằng tiền</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</si>
  <si>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</si>
  <si>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Tỷ lệ chưa đạt → tỷ lệ cần người kiểm tra ở trang 1</t>
  </si>
  <si>
    <t>Giả định 10–20%, ghi lý do</t>
  </si>
  <si>
    <t>Phiếu bài tập 1 và bài về nhà một trang (Ngày 22)</t>
  </si>
  <si>
    <t>Cách tính tiền, chi phí mỗi việc, giá đề xuất: chép vào trang 1–2 rồi soát lại</t>
  </si>
  <si>
    <t>Làm nhanh ở Nhiệm vụ 1–2 theo bản mẫu (cột Gợi ý ở trang 1–2)</t>
  </si>
  <si>
    <t>Bảng theo dõi chỉ số và luật xử lý (Ngày 23)</t>
  </si>
  <si>
    <t>Điền mức cảnh báo tự tính (trang 5, dòng 72–77) vào cột [TỰ TÍNH]</t>
  </si>
  <si>
    <t>Dùng bảng mức cảnh báo ở trang 5 làm khung</t>
  </si>
  <si>
    <t>Sản phẩm của nhóm từ các buổi trước</t>
  </si>
  <si>
    <t>Có. Vốn</t>
  </si>
  <si>
    <t>Dùng xuyên suốt</t>
  </si>
  <si>
    <t>Nhóm ngồi chung bàn nhưng khác dự án: chọn 1 trong 3 đề bài giả định trong file CS9_DeBai_GiaDinh.pdf (đề cho sẵn số liệu trang 1–3; ghi tên đề ở cột Ghi chú)</t>
  </si>
  <si>
    <t>Vay ngân hàng, gốc trả sau 3 năm</t>
  </si>
  <si>
    <t>Lãi 12%/năm, trả cuối mỗi tháng</t>
  </si>
  <si>
    <t>Lãi vay</t>
  </si>
  <si>
    <t>Số đầu vào nhóm đã có</t>
  </si>
  <si>
    <t>Mua máy chủ, trả tiền ngay</t>
  </si>
  <si>
    <t>Hạng mục</t>
  </si>
  <si>
    <t>Dùng 36 tháng, khấu hao đều</t>
  </si>
  <si>
    <t>Có. Chi phí</t>
  </si>
  <si>
    <t>Bán gói tháng cho cửa hàng nhỏ, thu tiền ngay</t>
  </si>
  <si>
    <t>Giá trị</t>
  </si>
  <si>
    <t>Đơn vị</t>
  </si>
  <si>
    <t>Có. Doanh thu lấy ngay</t>
  </si>
  <si>
    <t>Nguồn / lý do</t>
  </si>
  <si>
    <t>Ngân hàng X trả trước gói 12 tháng</t>
  </si>
  <si>
    <t>Gợi ý cách lấy số · bản mẫu</t>
  </si>
  <si>
    <t>Dịch vụ chạy đều từ tháng 1</t>
  </si>
  <si>
    <t>Có. Doanh thu tháng</t>
  </si>
  <si>
    <t>Mô tả 1 việc (Ngày 22 gọi là job)</t>
  </si>
  <si>
    <t>Dự án triển khai cho công ty Y được nghiệm thu</t>
  </si>
  <si>
    <t>Y trả tiền sau 60 ngày (tháng 4)</t>
  </si>
  <si>
    <t>Có. Doanh thu</t>
  </si>
  <si>
    <t>Chi phí gọi AI phát sinh trong tháng</t>
  </si>
  <si>
    <t>1 mô tả sản phẩm hoặc 1 câu trả lời đánh giá</t>
  </si>
  <si>
    <t>Nhà cung cấp cho trả vào tháng sau</t>
  </si>
  <si>
    <t>Có. Chi phí mỗi tháng</t>
  </si>
  <si>
    <t>Người kiểm tra câu trả lời, trả trong tháng</t>
  </si>
  <si>
    <t>Có. Chi phí đều mỗi tháng</t>
  </si>
  <si>
    <t>Lương đội phát triển và bán hàng, trả trong tháng</t>
  </si>
  <si>
    <t>Thuê văn phòng, trả trong tháng</t>
  </si>
  <si>
    <t>Đề bài 3</t>
  </si>
  <si>
    <t>Thuế thu nhập doanh nghiệp</t>
  </si>
  <si>
    <t>Lỗ lũy kế nên chưa phát sinh thuế</t>
  </si>
  <si>
    <t>Có. Thuế</t>
  </si>
  <si>
    <t>Một câu: AI nhận gì, trả ra gì cho khách. Bản mẫu: trả lời 1 hội thoại Zalo của khách cho cửa hàng nhỏ.</t>
  </si>
  <si>
    <t>Điểm thưởng gợi ý (tối đa 10): 2 điểm cho mỗi đầu vào đã có và thật sự được dùng trong bài</t>
  </si>
  <si>
    <t>BÀI 1 · BÁO CÁO KẾT QUẢ KINH DOANH (10 phút). Ghi theo tháng phát sinh, không theo ngày tiền vào ra. Chi phí ghi số dương; dòng lợi nhuận = kết quả cộng trừ.</t>
  </si>
  <si>
    <t>Số lần gọi mô hình / việc</t>
  </si>
  <si>
    <t>Khoản mục</t>
  </si>
  <si>
    <t>Cộng 3 tháng</t>
  </si>
  <si>
    <t>Tự kiểm tra</t>
  </si>
  <si>
    <t>Doanh thu</t>
  </si>
  <si>
    <t>lần</t>
  </si>
  <si>
    <t>Đếm số bước phải gọi mô hình cho 1 việc: hiểu câu hỏi, tra cứu, soạn trả lời, tự kiểm tra. Bản mẫu: 2.</t>
  </si>
  <si>
    <t>Token đầu vào / lần gọi</t>
  </si>
  <si>
    <t>token</t>
  </si>
  <si>
    <t>Đề bài 3 (thông tin SP &amp; giọng văn)</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</si>
  <si>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</si>
  <si>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</si>
  <si>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Độ dài câu trả lời, đếm bằng cách chạy thử. Bản mẫu: 300 (1–3 câu ngắn).</t>
  </si>
  <si>
    <t>Giá token đầu vào</t>
  </si>
  <si>
    <t>USD / 1 triệu token</t>
  </si>
  <si>
    <t>GPT-6 Luna (trang 9)</t>
  </si>
  <si>
    <t>Chọn 1 mô hình ở trang 9 hoặc trang giá chính thức. Ghi tên mô hình, ngày tra, đường dẫn ở cột D. Bản mẫu: 0,4 USD (mô hình nhỏ giả định; nhóm thay bằng giá mô hình thật).</t>
  </si>
  <si>
    <t>Giá token đầu ra</t>
  </si>
  <si>
    <t>Như dòng 9. Giá đầu ra thường cao hơn đầu vào nhiều lần. Bản mẫu: 1,6 USD.</t>
  </si>
  <si>
    <t>Tỷ giá</t>
  </si>
  <si>
    <t>VND / USD</t>
  </si>
  <si>
    <t>Tỷ giá trang 9</t>
  </si>
  <si>
    <t>Tỷ giá bán ra Vietcombank ở trang 9 (26.170 đồng, ngày 04/10/2026) hoặc tra mới, ghi ngày. Bản mẫu: 26.000.</t>
  </si>
  <si>
    <t>Tỷ lệ gọi lại khi lỗi</t>
  </si>
  <si>
    <t>%</t>
  </si>
  <si>
    <t>Tỷ lệ việc phải gọi lại vì lỗi, hết thời gian chờ, trả lời hỏng. Chưa đo: giả định 5–10%, ghi lý do. Bản mẫu: 10%.</t>
  </si>
  <si>
    <t>Hạ tầng / việc (máy chủ, cơ sở dữ liệu, gửi tin)</t>
  </si>
  <si>
    <t>VND</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</si>
  <si>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</si>
  <si>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</si>
  <si>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Đề bài 3 (chỉ khi khách báo lỗi)</t>
  </si>
  <si>
    <t>Lấy từ báo cáo đánh giá chất lượng (tỷ lệ trả lời chưa đạt). Chưa có: giả định 10–20%. Bản mẫu: 10%.</t>
  </si>
  <si>
    <t>Số phút người kiểm tra / việc</t>
  </si>
  <si>
    <t>phút</t>
  </si>
  <si>
    <t>Thời gian 1 người đọc và sửa 1 kết quả. Bản mẫu: 1,5 phút.</t>
  </si>
  <si>
    <t>Chi phí nhân sự kiểm tra</t>
  </si>
  <si>
    <t>VND / giờ</t>
  </si>
  <si>
    <t>Bằng (lương tháng + bảo hiểm) ÷ số giờ làm mỗi tháng (khoảng 176–208 giờ). Lương tối thiểu ở trang 9 chỉ là mức sàn. Bản mẫu: 60.000 đồng/giờ.</t>
  </si>
  <si>
    <t>Đánh giá chất lượng, giám sát, gán nhãn lại / việc</t>
  </si>
  <si>
    <t>Chi phí chạy bộ câu hỏi đánh giá, gán nhãn lại mỗi tháng ÷ số việc mỗi tháng. Bản mẫu: 60 đồng.</t>
  </si>
  <si>
    <t>Chi phí khác / việc (tuân thủ, lưu nhật ký…)</t>
  </si>
  <si>
    <t>Lưu nhật ký, bảo mật, tuân thủ. Ghi 0 thì nói vì sao. Bản mẫu: 30 đồng.</t>
  </si>
  <si>
    <t>KẾT QUẢ</t>
  </si>
  <si>
    <t>Chi phí gọi AI / việc (đã tính gọi lại)</t>
  </si>
  <si>
    <t>Giá vốn (gọi AI + người kiểm tra)</t>
  </si>
  <si>
    <t>Lợi nhuận gộp</t>
  </si>
  <si>
    <t>Chi phí người kiểm tra / việc</t>
  </si>
  <si>
    <t>Hạ tầng + đánh giá + khác / việc</t>
  </si>
  <si>
    <t>TỔNG CHI PHÍ MỖI VIỆC</t>
  </si>
  <si>
    <t>Bản mẫu: khoảng 413 đồng mỗi việc, trong đó gọi AI chỉ khoảng 73 đồng.</t>
  </si>
  <si>
    <t>Phần chìm so với chi phí gọi AI</t>
  </si>
  <si>
    <t>Chi phí hoạt động (lương + văn phòng)</t>
  </si>
  <si>
    <t>Dưới 30%: rà lại xem đã đủ các khoản chưa (kinh nghiệm giảng viên). Không thêm khoản bịa chỉ để đạt mốc.</t>
  </si>
  <si>
    <t>Giá sàn mỗi việc = 3 × chi phí mỗi việc</t>
  </si>
  <si>
    <t>Lợi nhuận trước lãi vay, thuế và khấu hao (EBITDA)</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</si>
  <si>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</si>
  <si>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</si>
  <si>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</si>
  <si>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Khấu hao</t>
  </si>
  <si>
    <t>Lợi nhuận hoạt động</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</si>
  <si>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</si>
  <si>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</si>
  <si>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</si>
  <si>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</si>
  <si>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</si>
  <si>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</si>
  <si>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</si>
  <si>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</si>
  <si>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</si>
  <si>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</si>
  <si>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</si>
  <si>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</si>
  <si>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</si>
  <si>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</si>
  <si>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</si>
  <si>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</si>
  <si>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</si>
  <si>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</si>
  <si>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</si>
  <si>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</si>
  <si>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</si>
  <si>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</si>
  <si>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</si>
  <si>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</si>
  <si>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</si>
  <si>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</si>
  <si>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</si>
  <si>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</si>
  <si>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</si>
  <si>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</si>
  <si>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</si>
  <si>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</si>
  <si>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2 · Định giá: cách tính tiền, gói giá và nhóm khách dùng nhiều</t>
  </si>
  <si>
    <t>Góp vốn (tiền vào → số dương)</t>
  </si>
  <si>
    <t>Vay ngân hàng (tiền vào → số dương)</t>
  </si>
  <si>
    <t>Dòng tiền từ hoạt động tài chính</t>
  </si>
  <si>
    <t>So sánh gói kết hợp (phí cố định + phí vượt hạn mức) với gói không giới hạn để thấy rủi ro từ nhóm khách dùng nhiều.</t>
  </si>
  <si>
    <t>Tiền tăng thêm trong kỳ</t>
  </si>
  <si>
    <t>Mục</t>
  </si>
  <si>
    <t>Khách trả tiền từ ngân sách nào?</t>
  </si>
  <si>
    <t>Phần mềm (người bán tự trả, ngân sách nhỏ)</t>
  </si>
  <si>
    <t>Phần mềm hay Nhân sự?</t>
  </si>
  <si>
    <t>Tiền đầu kỳ</t>
  </si>
  <si>
    <t>Cách tính tiền đã chọn</t>
  </si>
  <si>
    <t>Tiền cuối kỳ</t>
  </si>
  <si>
    <t>Kết hợp (phí cố định + vượt hạn mức)</t>
  </si>
  <si>
    <t>Bảng giá dưới luôn có dạng phí cố định + phí mỗi việc vượt hạn mức. Cách nhập cho từng cách tính tiền: dòng 35–40.</t>
  </si>
  <si>
    <t>Lý do chọn (hai câu hỏi: đo được kết quả? AI tự làm trọn?)</t>
  </si>
  <si>
    <t>Neo giá so với cái gì?</t>
  </si>
  <si>
    <t>Lương cộng tác viên viết nội dung bán thời gian</t>
  </si>
  <si>
    <t>Lương hoặc chi phí thuê ngoài, không so với giá ChatGPT</t>
  </si>
  <si>
    <t>Phí cố định / khách / tháng</t>
  </si>
  <si>
    <t>KIỂM TRA: Tiền cuối kỳ = dòng Tiền trên bảng cân đối?</t>
  </si>
  <si>
    <t>Số việc đã gồm trong phí cố định</t>
  </si>
  <si>
    <t>việc / tháng</t>
  </si>
  <si>
    <t>Giá mỗi việc vượt hạn mức</t>
  </si>
  <si>
    <t>VND / việc</t>
  </si>
  <si>
    <t>Giá gói không giới hạn (để so sánh; thường = phí cố định dòng 9)</t>
  </si>
  <si>
    <t>VND / tháng</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</si>
  <si>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</si>
  <si>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</si>
  <si>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</si>
  <si>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</si>
  <si>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</si>
  <si>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</si>
  <si>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</si>
  <si>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</si>
  <si>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</si>
  <si>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</si>
  <si>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</si>
  <si>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</si>
  <si>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2. 240 triệu ngân hàng X trả trước nằm ở đâu trên bảng cân đối cuối tháng 3, bao nhiêu? Vì sao không ghi hết vào doanh thu?</t>
  </si>
  <si>
    <t>3. Lỗ 174 triệu mà dòng tiền kinh doanh chỉ âm 19 triệu. Khoản nào bù vào? Có nên vui không?</t>
  </si>
  <si>
    <t>4. (Xong sớm) Nếu từ tháng 4 mọi thứ giữ như tháng 3, công ty còn trụ được khoảng bao nhiêu tháng?</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</si>
  <si>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</si>
  <si>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</si>
  <si>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</si>
  <si>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</si>
  <si>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</si>
  <si>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</si>
  <si>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</si>
  <si>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Khách dùng nhiều</t>
  </si>
  <si>
    <t>Nên mua hay thuê? (chọn Mua hoặc Thuê trong danh sách)</t>
  </si>
  <si>
    <t>BÌNH QUÂN (theo tỷ trọng)</t>
  </si>
  <si>
    <t>Nếu chi phí vốn chỉ 8%/năm: giá trị hiện tại của tiền thuê (gợi ý: =PV(0,08/12; C84; -C83))</t>
  </si>
  <si>
    <t>Khi đó nên mua hay thuê?</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</si>
  <si>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</si>
  <si>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</si>
  <si>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</si>
  <si>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</si>
  <si>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</si>
  <si>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</si>
  <si>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</si>
  <si>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Tỷ lệ chia doanh thu cho đối tác / kênh bán</t>
  </si>
  <si>
    <t>% doanh thu</t>
  </si>
  <si>
    <t>Đề bài 3 (bán trực tiếp)</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</si>
  <si>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</si>
  <si>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</si>
  <si>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</si>
  <si>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</si>
  <si>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</si>
  <si>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</si>
  <si>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</si>
  <si>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</si>
  <si>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3 · Giả định cho 3 kịch bản</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</si>
  <si>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</si>
  <si>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Giả định</t>
  </si>
  <si>
    <t>Lạc quan</t>
  </si>
  <si>
    <t>Cơ sở</t>
  </si>
  <si>
    <t>Xấu</t>
  </si>
  <si>
    <t>Gợi ý · bản mẫu (Lạc quan / Cơ sở / Xấu)</t>
  </si>
  <si>
    <t>Hệ số doanh thu bình quân so với trang 2 (1 = giữ nguyên · 1,1 = cao hơn 10% · 0,8 = thấp hơn 20%)</t>
  </si>
  <si>
    <t>×</t>
  </si>
  <si>
    <t>Cơ sở = 1. Lạc quan, xấu: mặc định 1,1 và 0,8; sửa nếu có lý do</t>
  </si>
  <si>
    <t>Bản mẫu: 1,1 / 1 / 0,8. Xấu: bị ép giảm giá; lạc quan: bán được gói cao hơn.</t>
  </si>
  <si>
    <t>Hệ số chi phí AI / khách so với trang 2 (gõ như dòng 5)</t>
  </si>
  <si>
    <t>Bản mẫu: 0,9 / 1 / 1,2. Giá gọi AI hoặc cách khách dùng thay đổi.</t>
  </si>
  <si>
    <t>Khách mới tháng 1 (số khách ký được trong tháng đầu bán)</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</si>
  <si>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</si>
  <si>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</si>
  <si>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</si>
  <si>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</si>
  <si>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</si>
  <si>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</si>
  <si>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</si>
  <si>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</si>
  <si>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</si>
  <si>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</si>
  <si>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</si>
  <si>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khách</t>
  </si>
  <si>
    <t>Dòng 9 = 499.000 · dòng 10 = 300 việc · dòng 11 = 1.500 đồng mỗi việc</t>
  </si>
  <si>
    <t>Dòng 12</t>
  </si>
  <si>
    <t>Chỉ để so sánh: nhập bằng phí cố định dòng 9; nếu dòng 9 = 0 thì nhập mức trọn gói nhóm từng cân nhắc.</t>
  </si>
  <si>
    <t>Cơ sở: số khách đội bán hàng ký được thật trong tháng đầu. Mặc định: lạc quan = cơ sở × 1,3; xấu = cơ sở × 0,5. (Bản mẫu tự đặt 40 / 30 / 15.)</t>
  </si>
  <si>
    <t>Tăng trưởng khách mới / tháng (tính kép: 5%/tháng → tháng 24 gấp khoảng 3 lần tháng 1; 20%/tháng → gấp khoảng 66 lần)</t>
  </si>
  <si>
    <t>Mặc định: lạc quan × 1,6, xấu × 0,4. Bản mẫu: 8% / 5% / 2%. Trên 10% mỗi tháng cần lý do rất chắc.</t>
  </si>
  <si>
    <t>Tỷ lệ rời bỏ / tháng</t>
  </si>
  <si>
    <t>Đề bài 3: Người bán nhỏ, trả theo tháng, bỏ khi hết mùa</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</si>
  <si>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</si>
  <si>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</si>
  <si>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VND / khách</t>
  </si>
  <si>
    <t>Đề bài 3: Quảng cáo mạng xã hội</t>
  </si>
  <si>
    <t>Xấu phải ≥ 1,5 × cơ sở. Mặc định: lạc quan × 0,8, xấu × 1,5. (Bản mẫu tự đặt 1,2 / 1,5 / 2,3 triệu đồng.)</t>
  </si>
  <si>
    <t>Chi phí cố định / tháng (lương đội, văn phòng, hạ tầng trả cố định)</t>
  </si>
  <si>
    <t>Đề bài 3: Đội 4 người và văn phòng</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</si>
  <si>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</si>
  <si>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</si>
  <si>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Đề bài 3: Gồm chi phí thử sai 3 tháng (360tr) và token, kiểm thử (40tr)</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</si>
  <si>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</si>
  <si>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</si>
  <si>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Gõ đủ số đồng. Dự án trong công ty: ghi ngân sách đã duyệt. Để trống thì mọi kịch bản hết tiền ngay tháng 1. Bản mẫu: 2 tỷ.</t>
  </si>
  <si>
    <t>Lãi suất chiết khấu / năm</t>
  </si>
  <si>
    <t>Giả định của lớp: chi phí vốn cho dự án rủi ro cao</t>
  </si>
  <si>
    <t>Giữ 15% nếu không có lý do khác.</t>
  </si>
  <si>
    <t>Giá trị tính ra</t>
  </si>
  <si>
    <t>Doanh thu bình quân / khách / tháng</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</si>
  <si>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</si>
  <si>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</si>
  <si>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</si>
  <si>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</si>
  <si>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</si>
  <si>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</si>
  <si>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</si>
  <si>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</si>
  <si>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</si>
  <si>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</si>
  <si>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</si>
  <si>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</si>
  <si>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</si>
  <si>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</si>
  <si>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</si>
  <si>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</si>
  <si>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</si>
  <si>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</si>
  <si>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</si>
  <si>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</si>
  <si>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</si>
  <si>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</si>
  <si>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</si>
  <si>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</si>
  <si>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</si>
  <si>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</si>
  <si>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</si>
  <si>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</si>
  <si>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</si>
  <si>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</si>
  <si>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</si>
  <si>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</si>
  <si>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</si>
  <si>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</si>
  <si>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</si>
  <si>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</si>
  <si>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</si>
  <si>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</si>
  <si>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</si>
  <si>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</si>
  <si>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</si>
  <si>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</si>
  <si>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</si>
  <si>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</si>
  <si>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</si>
  <si>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</si>
  <si>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</si>
  <si>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</si>
  <si>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</si>
  <si>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</si>
  <si>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</si>
  <si>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</si>
  <si>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</si>
  <si>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</si>
  <si>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</si>
  <si>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</si>
  <si>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</si>
  <si>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</si>
  <si>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</si>
  <si>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</si>
  <si>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</si>
  <si>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</si>
  <si>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</si>
  <si>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</si>
  <si>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</si>
  <si>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</si>
  <si>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</si>
  <si>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</si>
  <si>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</si>
  <si>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</si>
  <si>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</si>
  <si>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Giả định của lớp: chi phí vốn</t>
  </si>
  <si>
    <t>Kết quả</t>
  </si>
  <si>
    <t>Giá trị tạo ra / tháng</t>
  </si>
  <si>
    <t>Lợi ích ròng / tháng</t>
  </si>
  <si>
    <t>&gt; 0</t>
  </si>
  <si>
    <t>Đầu tư một lần</t>
  </si>
  <si>
    <t>Thời gian hoàn vốn</t>
  </si>
  <si>
    <t>Khách đang dùng</t>
  </si>
  <si>
    <t>Hiệu quả đầu tư sau 12 tháng (ROI)</t>
  </si>
  <si>
    <t>Giá trị hiện tại ròng 24 tháng</t>
  </si>
  <si>
    <t>Đánh giá nhanh</t>
  </si>
  <si>
    <t>Hoàn vốn dưới 12 tháng: Làm · hoàn vốn được nhưng chậm: thử ở 1 phòng ban để đo tỷ lệ người dùng thật · không hoàn vốn: Dừng</t>
  </si>
  <si>
    <t>Chi phí AI (giá vốn)</t>
  </si>
  <si>
    <t>7 · Tự kiểm tra và ghi chú quyết định</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</si>
  <si>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</si>
  <si>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</si>
  <si>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</si>
  <si>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</si>
  <si>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</si>
  <si>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Biên lợi nhuận gộp bình quân ≥ 60% (gói kết hợp)</t>
  </si>
  <si>
    <t>LTV ÷ CAC &gt; 3 (cơ sở)</t>
  </si>
  <si>
    <t>Chi phí bán hàng (chi phí có khách × khách mới)</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</si>
  <si>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</si>
  <si>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</si>
  <si>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</si>
  <si>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</si>
  <si>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</si>
  <si>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</si>
  <si>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</si>
  <si>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Chi phí cố định</t>
  </si>
  <si>
    <t>2. Giá bán và cách tính tiền đã chọn — vì sao khách chấp nhận mức đó?</t>
  </si>
  <si>
    <t>3. Biến số nguy hiểm nhất (theo bảng độ nhạy ở trang 5) và cách theo dõi.</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</si>
  <si>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</si>
  <si>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5. Mức cảnh báo tự tính (trang 5, dòng 72–77) đã điền vào bảng theo dõi Ngày 23 thế nào? Chưa có bảng Ngày 23: chép các mức đó, ghi mức nào là "nguy", mức nào "đáng lo", và ai theo dõi hằng tuần.</t>
  </si>
  <si>
    <t>Dòng tiền ròng</t>
  </si>
  <si>
    <t>Tiền mặt cuối kỳ</t>
  </si>
  <si>
    <t>Dòng tiền lũy kế của dự án</t>
  </si>
  <si>
    <t>CƠ SỞ</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</si>
  <si>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</si>
  <si>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</si>
  <si>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</si>
  <si>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</si>
  <si>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</si>
  <si>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</si>
  <si>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</si>
  <si>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</si>
  <si>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</si>
  <si>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</si>
  <si>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</si>
  <si>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</si>
  <si>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</si>
  <si>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</si>
  <si>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</si>
  <si>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</si>
  <si>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</si>
  <si>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</si>
  <si>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</si>
  <si>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</si>
  <si>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</si>
  <si>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</si>
  <si>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</si>
  <si>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</si>
  <si>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</si>
  <si>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</si>
  <si>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</si>
  <si>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</si>
  <si>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</si>
  <si>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</si>
  <si>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</si>
  <si>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</si>
  <si>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</si>
  <si>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</si>
  <si>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</si>
  <si>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</si>
  <si>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</si>
  <si>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</si>
  <si>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</si>
  <si>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</si>
  <si>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</si>
  <si>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</si>
  <si>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</si>
  <si>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</si>
  <si>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</si>
  <si>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</si>
  <si>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</si>
  <si>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</si>
  <si>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</si>
  <si>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</si>
  <si>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</si>
  <si>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</si>
  <si>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</si>
  <si>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</si>
  <si>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</si>
  <si>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</si>
  <si>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</si>
  <si>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</si>
  <si>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</si>
  <si>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</si>
  <si>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</si>
  <si>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</si>
  <si>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</si>
  <si>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</si>
  <si>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</si>
  <si>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</si>
  <si>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</si>
  <si>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</si>
  <si>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</si>
  <si>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</si>
  <si>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</si>
  <si>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</si>
  <si>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</si>
  <si>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</si>
  <si>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</si>
  <si>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</si>
  <si>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</si>
  <si>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</si>
  <si>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</si>
  <si>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</si>
  <si>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</si>
  <si>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</si>
  <si>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</si>
  <si>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</si>
  <si>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</si>
  <si>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</si>
  <si>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</si>
  <si>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</si>
  <si>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</si>
  <si>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</si>
  <si>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</si>
  <si>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</si>
  <si>
    <t>XẤU</t>
  </si>
  <si>
    <t>TÓM TẮT HIỆU QUẢ ĐẦU TƯ</t>
  </si>
  <si>
    <t>Giá trị hiện tại ròng 24 tháng (đồng; lớn hơn 0 là đáng làm)</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</si>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</sst>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RED]\-#,##0"/>
    <numFmt numFmtId="165" formatCode="#,##0.##"/>
    <numFmt numFmtId="166" formatCode="0.0%"/>
    <numFmt numFmtId="167" formatCode="#,##0.0;[RED]\-#,##0.0"/>
    <numFmt numFmtId="168" formatCode="0.0&quot; tháng&quot;"/>
    <numFmt numFmtId="169" formatCode="0.00\x"/>
    <numFmt numFmtId="170" formatCode="#,##0.0"/>
    <numFmt numFmtId="171" formatCode="&quot;Tháng &quot;0"/>
  </numFmts>
  <fonts count="15">
    <font>
      <sz val="11.0"/>
      <color theme="1"/>
      <name val="Calibri"/>
      <scheme val="minor"/>
    </font>
    <font>
      <b/>
      <sz val="14.0"/>
      <color theme="1"/>
      <name val="Cambria"/>
    </font>
    <font>
      <sz val="11.0"/>
      <color theme="1"/>
      <name val="Calibri"/>
    </font>
    <font>
      <i/>
      <sz val="11.0"/>
      <color rgb="FF595959"/>
      <name val="Cambria"/>
    </font>
    <font>
      <b/>
      <sz val="11.0"/>
      <color rgb="FFFFFFFF"/>
      <name val="Cambria"/>
    </font>
    <font>
      <b/>
      <sz val="11.0"/>
      <color theme="1"/>
      <name val="Cambria"/>
    </font>
    <font>
      <i/>
      <sz val="10.0"/>
      <color rgb="FF595959"/>
      <name val="Calibri"/>
    </font>
    <font>
      <i/>
      <sz val="11.0"/>
      <color rgb="FF595959"/>
      <name val="Calibri"/>
    </font>
    <font>
      <b/>
      <sz val="11.0"/>
      <color rgb="FFC00000"/>
      <name val="Calibri"/>
    </font>
    <font>
      <color theme="1"/>
      <name val="Calibri"/>
      <scheme val="minor"/>
    </font>
    <font>
      <b/>
      <sz val="11.0"/>
      <color theme="1"/>
      <name val="Calibri"/>
    </font>
    <font/>
    <font>
      <b/>
      <sz val="12.0"/>
      <color theme="1"/>
      <name val="Cambria"/>
    </font>
    <font>
      <b/>
      <sz val="11.0"/>
      <color rgb="FFC00000"/>
      <name val="Cambria"/>
    </font>
    <font>
      <sz val="10.0"/>
      <color rgb="FF808080"/>
      <name val="Calibri"/>
    </font>
  </fonts>
  <fills count="6">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D9E1F2"/>
        <bgColor rgb="FFD9E1F2"/>
      </patternFill>
    </fill>
  </fills>
  <borders count="9">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top/>
      <bottom/>
    </border>
    <border>
      <top/>
      <bottom/>
    </border>
    <border>
      <right/>
      <top/>
      <bottom/>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bottom" wrapText="0"/>
    </xf>
    <xf borderId="1" fillId="2" fontId="4" numFmtId="0" xfId="0" applyAlignment="1" applyBorder="1" applyFill="1" applyFont="1">
      <alignment shrinkToFit="0" vertical="bottom" wrapText="1"/>
    </xf>
    <xf borderId="2" fillId="0" fontId="2" numFmtId="0" xfId="0" applyAlignment="1" applyBorder="1" applyFont="1">
      <alignment shrinkToFit="0" vertical="top" wrapText="1"/>
    </xf>
    <xf borderId="0" fillId="0" fontId="5" numFmtId="0" xfId="0" applyAlignment="1" applyFont="1">
      <alignment shrinkToFit="0" vertical="bottom" wrapText="0"/>
    </xf>
    <xf borderId="0" fillId="0" fontId="6" numFmtId="0" xfId="0" applyAlignment="1" applyFont="1">
      <alignment shrinkToFit="0" vertical="top" wrapText="1"/>
    </xf>
    <xf borderId="1" fillId="3" fontId="2" numFmtId="0" xfId="0" applyAlignment="1" applyBorder="1" applyFill="1" applyFont="1">
      <alignment shrinkToFit="0" vertical="bottom" wrapText="0"/>
    </xf>
    <xf borderId="1" fillId="2" fontId="4" numFmtId="0" xfId="0" applyAlignment="1" applyBorder="1" applyFill="1" applyFont="1">
      <alignment shrinkToFit="0" vertical="center" wrapText="1"/>
    </xf>
    <xf borderId="2" fillId="3" fontId="2" numFmtId="0" xfId="0" applyAlignment="1" applyBorder="1" applyFill="1" applyFont="1">
      <alignment shrinkToFit="0" vertical="top" wrapText="1"/>
    </xf>
    <xf borderId="1" fillId="4" fontId="2" numFmtId="0" xfId="0" applyAlignment="1" applyBorder="1" applyFill="1" applyFont="1">
      <alignment shrinkToFit="0" vertical="bottom" wrapText="0"/>
    </xf>
    <xf borderId="0" fillId="0" fontId="7" numFmtId="0" xfId="0" applyAlignment="1" applyFont="1">
      <alignment shrinkToFit="0" vertical="top" wrapText="1"/>
    </xf>
    <xf borderId="2" fillId="0" fontId="2" numFmtId="0" xfId="0" applyAlignment="1" applyBorder="1" applyFont="1">
      <alignment horizontal="center" shrinkToFit="0" vertical="center" wrapText="0"/>
    </xf>
    <xf borderId="2" fillId="0" fontId="2" numFmtId="0" xfId="0" applyAlignment="1" applyBorder="1" applyFont="1">
      <alignment shrinkToFit="0" vertical="center" wrapText="0"/>
    </xf>
    <xf borderId="2" fillId="0" fontId="2" numFmtId="164" xfId="0" applyAlignment="1" applyBorder="1" applyFont="1" applyNumberFormat="1">
      <alignment shrinkToFit="0" vertical="center" wrapText="0"/>
    </xf>
    <xf borderId="2" fillId="0" fontId="2" numFmtId="0" xfId="0" applyAlignment="1" applyBorder="1" applyFont="1">
      <alignment shrinkToFit="0" vertical="center" wrapText="1"/>
    </xf>
    <xf borderId="2" fillId="3" fontId="2" numFmtId="0" xfId="0" applyAlignment="1" applyBorder="1" applyFill="1" applyFont="1">
      <alignment readingOrder="0" shrinkToFit="0" vertical="center" wrapText="1"/>
    </xf>
    <xf borderId="0" fillId="0" fontId="8" numFmtId="0" xfId="0" applyAlignment="1" applyFont="1">
      <alignment shrinkToFit="0" vertical="top" wrapText="1"/>
    </xf>
    <xf borderId="1" fillId="3" fontId="2" numFmtId="0" xfId="0" applyAlignment="1" applyBorder="1" applyFill="1" applyFont="1">
      <alignment readingOrder="0" shrinkToFit="0" vertical="center" wrapText="0"/>
    </xf>
    <xf borderId="0" fillId="0" fontId="2" numFmtId="0" xfId="0" applyAlignment="1" applyFont="1">
      <alignment shrinkToFit="0" vertical="center" wrapText="0"/>
    </xf>
    <xf borderId="1" fillId="3" fontId="2" numFmtId="0" xfId="0" applyAlignment="1" applyBorder="1" applyFill="1" applyFont="1">
      <alignment readingOrder="0" shrinkToFit="0" vertical="center" wrapText="1"/>
    </xf>
    <xf borderId="0" fillId="0" fontId="6" numFmtId="0" xfId="0" applyAlignment="1" applyFont="1">
      <alignment shrinkToFit="0" vertical="center" wrapText="1"/>
    </xf>
    <xf borderId="0" fillId="0" fontId="5" numFmtId="0" xfId="0" applyAlignment="1" applyFont="1">
      <alignment shrinkToFit="0" vertical="top" wrapText="1"/>
    </xf>
    <xf borderId="2" fillId="3" fontId="2" numFmtId="165" xfId="0" applyAlignment="1" applyBorder="1" applyFill="1" applyFont="1" applyNumberFormat="1">
      <alignment readingOrder="0" shrinkToFit="0" vertical="center" wrapText="0"/>
    </xf>
    <xf borderId="2" fillId="0" fontId="2" numFmtId="0" xfId="0" applyAlignment="1" applyBorder="1" applyFont="1">
      <alignment shrinkToFit="0" vertical="bottom" wrapText="0"/>
    </xf>
    <xf borderId="0" fillId="0" fontId="9" numFmtId="0" xfId="0" applyAlignment="1" applyFont="1">
      <alignment horizontal="left" readingOrder="0" shrinkToFit="0" wrapText="0"/>
    </xf>
    <xf borderId="0" fillId="0" fontId="9" numFmtId="0" xfId="0" applyAlignment="1" applyFont="1">
      <alignment shrinkToFit="0" wrapText="0"/>
    </xf>
    <xf borderId="0" fillId="0" fontId="9" numFmtId="0" xfId="0" applyFont="1"/>
    <xf borderId="2" fillId="3" fontId="2" numFmtId="164" xfId="0" applyAlignment="1" applyBorder="1" applyFill="1" applyFont="1" applyNumberFormat="1">
      <alignment shrinkToFit="0" vertical="bottom" wrapText="0"/>
    </xf>
    <xf borderId="2" fillId="3" fontId="2" numFmtId="166" xfId="0" applyAlignment="1" applyBorder="1" applyFill="1" applyFont="1" applyNumberFormat="1">
      <alignment readingOrder="0" shrinkToFit="0" vertical="center" wrapText="0"/>
    </xf>
    <xf borderId="2" fillId="4" fontId="2" numFmtId="164" xfId="0" applyAlignment="1" applyBorder="1" applyFill="1" applyFont="1" applyNumberFormat="1">
      <alignment shrinkToFit="0" vertical="bottom" wrapText="0"/>
    </xf>
    <xf borderId="2" fillId="0" fontId="10" numFmtId="0" xfId="0" applyAlignment="1" applyBorder="1" applyFont="1">
      <alignment shrinkToFit="0" vertical="bottom" wrapText="0"/>
    </xf>
    <xf borderId="2" fillId="4" fontId="10" numFmtId="164" xfId="0" applyAlignment="1" applyBorder="1" applyFill="1" applyFont="1" applyNumberFormat="1">
      <alignment shrinkToFit="0" vertical="bottom" wrapText="0"/>
    </xf>
    <xf borderId="2" fillId="4" fontId="5" numFmtId="164" xfId="0" applyAlignment="1" applyBorder="1" applyFill="1" applyFont="1" applyNumberFormat="1">
      <alignment shrinkToFit="0" vertical="bottom" wrapText="0"/>
    </xf>
    <xf borderId="2" fillId="4" fontId="2" numFmtId="0" xfId="0" applyAlignment="1" applyBorder="1" applyFill="1" applyFont="1">
      <alignment shrinkToFit="0" vertical="bottom" wrapText="0"/>
    </xf>
    <xf borderId="2" fillId="4" fontId="2" numFmtId="166" xfId="0" applyAlignment="1" applyBorder="1" applyFill="1" applyFont="1" applyNumberFormat="1">
      <alignment shrinkToFit="0" vertical="bottom" wrapText="0"/>
    </xf>
    <xf borderId="2" fillId="3" fontId="2" numFmtId="164" xfId="0" applyAlignment="1" applyBorder="1" applyFill="1" applyFont="1" applyNumberFormat="1">
      <alignment readingOrder="0" shrinkToFit="0" vertical="bottom" wrapText="0"/>
    </xf>
    <xf borderId="0" fillId="0" fontId="6" numFmtId="0" xfId="0" applyAlignment="1" applyFont="1">
      <alignment shrinkToFit="0" vertical="bottom" wrapText="0"/>
    </xf>
    <xf borderId="2" fillId="4" fontId="2" numFmtId="9" xfId="0" applyAlignment="1" applyBorder="1" applyFill="1" applyFont="1" applyNumberFormat="1">
      <alignment shrinkToFit="0" vertical="bottom" wrapText="0"/>
    </xf>
    <xf borderId="2" fillId="0" fontId="10" numFmtId="0" xfId="0" applyAlignment="1" applyBorder="1" applyFont="1">
      <alignment shrinkToFit="0" vertical="top" wrapText="1"/>
    </xf>
    <xf borderId="2" fillId="4" fontId="10" numFmtId="0" xfId="0" applyAlignment="1" applyBorder="1" applyFill="1" applyFont="1">
      <alignment shrinkToFit="0" vertical="top" wrapText="1"/>
    </xf>
    <xf borderId="2" fillId="4" fontId="10" numFmtId="0" xfId="0" applyAlignment="1" applyBorder="1" applyFill="1" applyFont="1">
      <alignment shrinkToFit="0" vertical="bottom" wrapText="0"/>
    </xf>
    <xf borderId="1" fillId="3" fontId="2" numFmtId="0" xfId="0" applyAlignment="1" applyBorder="1" applyFill="1" applyFont="1">
      <alignment readingOrder="0" shrinkToFit="0" vertical="bottom" wrapText="1"/>
    </xf>
    <xf borderId="0" fillId="0" fontId="2" numFmtId="0" xfId="0" applyAlignment="1" applyFont="1">
      <alignment readingOrder="0" shrinkToFit="0" vertical="top" wrapText="1"/>
    </xf>
    <xf borderId="1" fillId="3" fontId="2" numFmtId="0" xfId="0" applyAlignment="1" applyBorder="1" applyFill="1" applyFont="1">
      <alignment readingOrder="0" shrinkToFit="0" vertical="bottom" wrapText="0"/>
    </xf>
    <xf borderId="2" fillId="0" fontId="2" numFmtId="164" xfId="0" applyAlignment="1" applyBorder="1" applyFont="1" applyNumberFormat="1">
      <alignment shrinkToFit="0" vertical="bottom" wrapText="0"/>
    </xf>
    <xf borderId="1" fillId="3" fontId="2" numFmtId="0" xfId="0" applyAlignment="1" applyBorder="1" applyFill="1" applyFont="1">
      <alignment shrinkToFit="0" vertical="bottom" wrapText="1"/>
    </xf>
    <xf borderId="0" fillId="0" fontId="2" numFmtId="0" xfId="0" applyAlignment="1" applyFont="1">
      <alignment readingOrder="0" shrinkToFit="0" vertical="bottom" wrapText="0"/>
    </xf>
    <xf borderId="1" fillId="2" fontId="4" numFmtId="0" xfId="0" applyAlignment="1" applyBorder="1" applyFill="1" applyFont="1">
      <alignment shrinkToFit="0" vertical="top" wrapText="1"/>
    </xf>
    <xf borderId="2" fillId="3" fontId="2" numFmtId="166" xfId="0" applyAlignment="1" applyBorder="1" applyFill="1" applyFont="1" applyNumberFormat="1">
      <alignment readingOrder="0" shrinkToFit="0" vertical="bottom" wrapText="0"/>
    </xf>
    <xf borderId="2" fillId="3" fontId="2" numFmtId="3" xfId="0" applyAlignment="1" applyBorder="1" applyFill="1" applyFont="1" applyNumberFormat="1">
      <alignment readingOrder="0" shrinkToFit="0" vertical="bottom" wrapText="0"/>
    </xf>
    <xf borderId="3" fillId="3" fontId="2" numFmtId="0" xfId="0" applyAlignment="1" applyBorder="1" applyFill="1" applyFont="1">
      <alignment shrinkToFit="0" vertical="top" wrapText="1"/>
    </xf>
    <xf borderId="4" fillId="0" fontId="11" numFmtId="0" xfId="0" applyBorder="1" applyFont="1"/>
    <xf borderId="5" fillId="0" fontId="11" numFmtId="0" xfId="0" applyBorder="1" applyFont="1"/>
    <xf borderId="2" fillId="0" fontId="2" numFmtId="9" xfId="0" applyAlignment="1" applyBorder="1" applyFont="1" applyNumberFormat="1">
      <alignment shrinkToFit="0" vertical="bottom" wrapText="0"/>
    </xf>
    <xf borderId="2" fillId="3" fontId="2" numFmtId="167" xfId="0" applyAlignment="1" applyBorder="1" applyFill="1" applyFont="1" applyNumberFormat="1">
      <alignment shrinkToFit="0" vertical="bottom" wrapText="0"/>
    </xf>
    <xf borderId="2" fillId="3" fontId="2" numFmtId="0" xfId="0" applyAlignment="1" applyBorder="1" applyFill="1" applyFont="1">
      <alignment shrinkToFit="0" vertical="bottom" wrapText="0"/>
    </xf>
    <xf borderId="2" fillId="4" fontId="2" numFmtId="3" xfId="0" applyAlignment="1" applyBorder="1" applyFill="1" applyFont="1" applyNumberFormat="1">
      <alignment shrinkToFit="0" vertical="bottom" wrapText="0"/>
    </xf>
    <xf borderId="2" fillId="4" fontId="5" numFmtId="166" xfId="0" applyAlignment="1" applyBorder="1" applyFill="1" applyFont="1" applyNumberFormat="1">
      <alignment shrinkToFit="0" vertical="bottom" wrapText="0"/>
    </xf>
    <xf borderId="2" fillId="0" fontId="2" numFmtId="0" xfId="0" applyAlignment="1" applyBorder="1" applyFont="1">
      <alignment readingOrder="0" shrinkToFit="0" vertical="bottom" wrapText="0"/>
    </xf>
    <xf borderId="2" fillId="3" fontId="2" numFmtId="0" xfId="0" applyAlignment="1" applyBorder="1" applyFill="1" applyFont="1">
      <alignment readingOrder="0" shrinkToFit="0" vertical="bottom" wrapText="0"/>
    </xf>
    <xf borderId="2" fillId="3" fontId="2" numFmtId="9" xfId="0" applyAlignment="1" applyBorder="1" applyFill="1" applyFont="1" applyNumberFormat="1">
      <alignment readingOrder="0" shrinkToFit="0" vertical="bottom" wrapText="0"/>
    </xf>
    <xf borderId="2" fillId="4" fontId="2" numFmtId="0" xfId="0" applyAlignment="1" applyBorder="1" applyFill="1" applyFont="1">
      <alignment shrinkToFit="0" vertical="top" wrapText="1"/>
    </xf>
    <xf borderId="2" fillId="4" fontId="2" numFmtId="2" xfId="0" applyAlignment="1" applyBorder="1" applyFill="1" applyFont="1" applyNumberFormat="1">
      <alignment shrinkToFit="0" vertical="bottom" wrapText="0"/>
    </xf>
    <xf borderId="2" fillId="4" fontId="10" numFmtId="166" xfId="0" applyAlignment="1" applyBorder="1" applyFill="1" applyFont="1" applyNumberFormat="1">
      <alignment shrinkToFit="0" vertical="bottom" wrapText="0"/>
    </xf>
    <xf borderId="2" fillId="3" fontId="2" numFmtId="2" xfId="0" applyAlignment="1" applyBorder="1" applyFill="1" applyFont="1" applyNumberFormat="1">
      <alignment shrinkToFit="0" vertical="center" wrapText="0"/>
    </xf>
    <xf borderId="1" fillId="3" fontId="2" numFmtId="0" xfId="0" applyAlignment="1" applyBorder="1" applyFill="1" applyFont="1">
      <alignment shrinkToFit="0" vertical="center" wrapText="1"/>
    </xf>
    <xf borderId="2" fillId="3" fontId="2" numFmtId="3" xfId="0" applyAlignment="1" applyBorder="1" applyFill="1" applyFont="1" applyNumberFormat="1">
      <alignment shrinkToFit="0" vertical="center" wrapText="0"/>
    </xf>
    <xf borderId="2" fillId="3" fontId="2" numFmtId="3" xfId="0" applyAlignment="1" applyBorder="1" applyFill="1" applyFont="1" applyNumberFormat="1">
      <alignment readingOrder="0" shrinkToFit="0" vertical="center" wrapText="0"/>
    </xf>
    <xf borderId="2" fillId="3" fontId="2" numFmtId="166" xfId="0" applyAlignment="1" applyBorder="1" applyFill="1" applyFont="1" applyNumberFormat="1">
      <alignment shrinkToFit="0" vertical="center" wrapText="0"/>
    </xf>
    <xf borderId="2" fillId="3" fontId="2" numFmtId="164" xfId="0" applyAlignment="1" applyBorder="1" applyFill="1" applyFont="1" applyNumberFormat="1">
      <alignment shrinkToFit="0" vertical="center" wrapText="0"/>
    </xf>
    <xf borderId="2" fillId="3" fontId="2" numFmtId="164" xfId="0" applyAlignment="1" applyBorder="1" applyFill="1" applyFont="1" applyNumberFormat="1">
      <alignment readingOrder="0" shrinkToFit="0" vertical="center" wrapText="0"/>
    </xf>
    <xf borderId="1" fillId="3" fontId="2" numFmtId="0" xfId="0" applyAlignment="1" applyBorder="1" applyFill="1" applyFont="1">
      <alignment shrinkToFit="0" vertical="center" wrapText="0"/>
    </xf>
    <xf borderId="2" fillId="4" fontId="2" numFmtId="168" xfId="0" applyAlignment="1" applyBorder="1" applyFill="1" applyFont="1" applyNumberFormat="1">
      <alignment shrinkToFit="0" vertical="bottom" wrapText="0"/>
    </xf>
    <xf borderId="2" fillId="4" fontId="5" numFmtId="169" xfId="0" applyAlignment="1" applyBorder="1" applyFill="1" applyFont="1" applyNumberFormat="1">
      <alignment shrinkToFit="0" vertical="bottom" wrapText="0"/>
    </xf>
    <xf borderId="2" fillId="4" fontId="5" numFmtId="0" xfId="0" applyAlignment="1" applyBorder="1" applyFill="1" applyFont="1">
      <alignment shrinkToFit="0" vertical="bottom" wrapText="0"/>
    </xf>
    <xf borderId="1" fillId="5" fontId="5" numFmtId="0" xfId="0" applyAlignment="1" applyBorder="1" applyFill="1" applyFont="1">
      <alignment shrinkToFit="0" vertical="bottom" wrapText="0"/>
    </xf>
    <xf borderId="0" fillId="0" fontId="2" numFmtId="170" xfId="0" applyAlignment="1" applyFont="1" applyNumberFormat="1">
      <alignment shrinkToFit="0" vertical="bottom" wrapText="0"/>
    </xf>
    <xf borderId="0" fillId="0" fontId="8" numFmtId="0" xfId="0" applyAlignment="1" applyFont="1">
      <alignment shrinkToFit="0" vertical="bottom" wrapText="0"/>
    </xf>
    <xf borderId="2" fillId="3" fontId="2" numFmtId="170" xfId="0" applyAlignment="1" applyBorder="1" applyFill="1" applyFont="1" applyNumberFormat="1">
      <alignment shrinkToFit="0" vertical="center" wrapText="0"/>
    </xf>
    <xf borderId="2" fillId="4" fontId="5" numFmtId="168" xfId="0" applyAlignment="1" applyBorder="1" applyFill="1" applyFont="1" applyNumberFormat="1">
      <alignment shrinkToFit="0" vertical="bottom" wrapText="0"/>
    </xf>
    <xf borderId="0" fillId="0" fontId="2" numFmtId="164" xfId="0" applyAlignment="1" applyFont="1" applyNumberFormat="1">
      <alignment shrinkToFit="0" vertical="bottom" wrapText="0"/>
    </xf>
    <xf borderId="2" fillId="4" fontId="2" numFmtId="169" xfId="0" applyAlignment="1" applyBorder="1" applyFill="1" applyFont="1" applyNumberFormat="1">
      <alignment shrinkToFit="0" vertical="bottom" wrapText="0"/>
    </xf>
    <xf borderId="2" fillId="4" fontId="2" numFmtId="171" xfId="0" applyAlignment="1" applyBorder="1" applyFill="1" applyFont="1" applyNumberFormat="1">
      <alignment shrinkToFit="0" vertical="bottom" wrapText="0"/>
    </xf>
    <xf borderId="0" fillId="0" fontId="12" numFmtId="0" xfId="0" applyAlignment="1" applyFont="1">
      <alignment shrinkToFit="0" vertical="top" wrapText="1"/>
    </xf>
    <xf borderId="6" fillId="3" fontId="2" numFmtId="0" xfId="0" applyAlignment="1" applyBorder="1" applyFill="1" applyFont="1">
      <alignment shrinkToFit="0" vertical="bottom" wrapText="1"/>
    </xf>
    <xf borderId="7" fillId="0" fontId="11" numFmtId="0" xfId="0" applyBorder="1" applyFont="1"/>
    <xf borderId="8" fillId="0" fontId="11" numFmtId="0" xfId="0" applyBorder="1" applyFont="1"/>
    <xf borderId="0" fillId="0" fontId="12" numFmtId="0" xfId="0" applyAlignment="1" applyFont="1">
      <alignment shrinkToFit="0" vertical="bottom" wrapText="0"/>
    </xf>
    <xf borderId="0" fillId="0" fontId="2" numFmtId="2" xfId="0" applyAlignment="1" applyFont="1" applyNumberFormat="1">
      <alignment shrinkToFit="0" vertical="bottom" wrapText="0"/>
    </xf>
    <xf borderId="0" fillId="0" fontId="2" numFmtId="3" xfId="0" applyAlignment="1" applyFont="1" applyNumberFormat="1">
      <alignment shrinkToFit="0" vertical="bottom" wrapText="0"/>
    </xf>
    <xf borderId="1" fillId="3" fontId="2" numFmtId="9" xfId="0" applyAlignment="1" applyBorder="1" applyFill="1" applyFont="1" applyNumberFormat="1">
      <alignment shrinkToFit="0" vertical="bottom" wrapText="0"/>
    </xf>
    <xf borderId="1" fillId="2" fontId="4" numFmtId="0" xfId="0" applyAlignment="1" applyBorder="1" applyFill="1" applyFont="1">
      <alignment horizontal="left" shrinkToFit="0" vertical="center" wrapText="1"/>
    </xf>
    <xf borderId="1" fillId="2" fontId="4" numFmtId="0" xfId="0" applyAlignment="1" applyBorder="1" applyFill="1" applyFont="1">
      <alignment horizontal="center" shrinkToFit="0" vertical="center" wrapText="1"/>
    </xf>
    <xf borderId="0" fillId="0" fontId="2" numFmtId="0" xfId="0" applyAlignment="1" applyFont="1">
      <alignment horizontal="center" shrinkToFit="0" vertical="bottom" wrapText="0"/>
    </xf>
    <xf borderId="1" fillId="4" fontId="2" numFmtId="164" xfId="0" applyAlignment="1" applyBorder="1" applyFill="1" applyFont="1" applyNumberFormat="1">
      <alignment shrinkToFit="0" vertical="bottom" wrapText="0"/>
    </xf>
    <xf borderId="1" fillId="4" fontId="2" numFmtId="171" xfId="0" applyAlignment="1" applyBorder="1" applyFill="1" applyFont="1" applyNumberFormat="1">
      <alignment shrinkToFit="0" vertical="center" wrapText="1"/>
    </xf>
    <xf borderId="1" fillId="4" fontId="2" numFmtId="1" xfId="0" applyAlignment="1" applyBorder="1" applyFill="1" applyFont="1" applyNumberFormat="1">
      <alignment horizontal="center" shrinkToFit="0" vertical="bottom" wrapText="0"/>
    </xf>
    <xf borderId="1" fillId="4" fontId="2" numFmtId="166" xfId="0" applyAlignment="1" applyBorder="1" applyFill="1" applyFont="1" applyNumberFormat="1">
      <alignment shrinkToFit="0" vertical="bottom" wrapText="0"/>
    </xf>
    <xf borderId="1" fillId="4" fontId="2" numFmtId="170" xfId="0" applyAlignment="1" applyBorder="1" applyFill="1" applyFont="1" applyNumberFormat="1">
      <alignment shrinkToFit="0" vertical="bottom" wrapText="0"/>
    </xf>
    <xf borderId="1" fillId="4" fontId="13" numFmtId="0" xfId="0" applyAlignment="1" applyBorder="1" applyFill="1" applyFont="1">
      <alignment shrinkToFit="0" vertical="bottom" wrapText="0"/>
    </xf>
    <xf borderId="0" fillId="0" fontId="5" numFmtId="0" xfId="0" applyAlignment="1" applyFont="1">
      <alignment shrinkToFit="0" vertical="center" wrapText="1"/>
    </xf>
    <xf borderId="6" fillId="2" fontId="4" numFmtId="0" xfId="0" applyAlignment="1" applyBorder="1" applyFill="1" applyFont="1">
      <alignment shrinkToFit="0" vertical="center" wrapText="1"/>
    </xf>
    <xf borderId="3" fillId="0" fontId="2" numFmtId="0" xfId="0" applyAlignment="1" applyBorder="1" applyFont="1">
      <alignment shrinkToFit="0" vertical="bottom" wrapText="0"/>
    </xf>
    <xf borderId="3" fillId="4" fontId="2" numFmtId="0" xfId="0" applyAlignment="1" applyBorder="1" applyFill="1" applyFont="1">
      <alignment shrinkToFit="0" vertical="bottom" wrapText="0"/>
    </xf>
    <xf borderId="2" fillId="4" fontId="2" numFmtId="167" xfId="0" applyAlignment="1" applyBorder="1" applyFill="1" applyFont="1" applyNumberFormat="1">
      <alignment shrinkToFit="0" vertical="bottom" wrapText="0"/>
    </xf>
    <xf borderId="2" fillId="4" fontId="10" numFmtId="167" xfId="0" applyAlignment="1" applyBorder="1" applyFill="1" applyFont="1" applyNumberFormat="1">
      <alignment shrinkToFit="0" vertical="bottom" wrapText="0"/>
    </xf>
    <xf borderId="0" fillId="0" fontId="14" numFmtId="0" xfId="0" applyAlignment="1" applyFont="1">
      <alignment shrinkToFit="0" vertical="bottom" wrapText="0"/>
    </xf>
    <xf borderId="0" fillId="0" fontId="14" numFmtId="164" xfId="0" applyAlignment="1" applyFont="1" applyNumberFormat="1">
      <alignment shrinkToFit="0" vertical="bottom" wrapText="0"/>
    </xf>
    <xf borderId="0" fillId="0" fontId="14" numFmtId="170" xfId="0" applyAlignment="1" applyFont="1" applyNumberFormat="1">
      <alignment shrinkToFit="0" vertical="bottom" wrapText="0"/>
    </xf>
    <xf borderId="0" fillId="0" fontId="14" numFmtId="166" xfId="0" applyAlignment="1" applyFont="1" applyNumberFormat="1">
      <alignment shrinkToFit="0" vertical="bottom" wrapText="0"/>
    </xf>
  </cellXfs>
  <cellStyles count="1">
    <cellStyle xfId="0" name="Normal" builtinId="0"/>
  </cellStyles>
  <dxfs count="1">
    <dxf>
      <font>
        <b/>
        <color rgb="FFC00000"/>
      </font>
      <fill>
        <patternFill patternType="solid">
          <fgColor rgb="FFF8CBAD"/>
          <bgColor rgb="FFF8CBA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30.0"/>
    <col customWidth="1" min="2" max="26" width="8.71"/>
  </cols>
  <sheetData>
    <row r="1" ht="17.25" customHeight="1">
      <c r="A1" s="1" t="s">
        <v>1</v>
      </c>
    </row>
    <row r="2" ht="46.5" customHeight="1">
      <c r="A2" s="3" t="s">
        <v>3</v>
      </c>
    </row>
    <row r="3" ht="31.5" customHeight="1">
      <c r="A3" s="4" t="s">
        <v>4</v>
      </c>
    </row>
    <row r="4" ht="31.5" customHeight="1">
      <c r="A4" s="4" t="s">
        <v>5</v>
      </c>
    </row>
    <row r="5" ht="46.5" customHeight="1">
      <c r="A5" s="4" t="s">
        <v>7</v>
      </c>
    </row>
    <row r="6" ht="46.5" customHeight="1">
      <c r="A6" s="4" t="s">
        <v>8</v>
      </c>
    </row>
    <row r="7" ht="31.5" customHeight="1">
      <c r="A7" s="4" t="s">
        <v>9</v>
      </c>
    </row>
    <row r="8" ht="16.5" customHeight="1">
      <c r="A8" s="4" t="s">
        <v>10</v>
      </c>
    </row>
    <row r="9" ht="46.5" customHeight="1">
      <c r="A9" s="4" t="s">
        <v>12</v>
      </c>
    </row>
    <row r="10" ht="16.5" customHeight="1">
      <c r="A10" s="4" t="s">
        <v>14</v>
      </c>
    </row>
    <row r="11" ht="31.5" customHeight="1">
      <c r="A11" s="4" t="s">
        <v>15</v>
      </c>
    </row>
    <row r="12" ht="31.5" customHeight="1">
      <c r="A12" s="4" t="s">
        <v>16</v>
      </c>
    </row>
    <row r="13" ht="31.5" customHeight="1">
      <c r="A13" s="4" t="s">
        <v>20</v>
      </c>
    </row>
    <row r="14" ht="16.5" customHeight="1">
      <c r="A14" s="4" t="s">
        <v>22</v>
      </c>
    </row>
    <row r="15" ht="15.0" customHeight="1">
      <c r="A15" s="8" t="s">
        <v>25</v>
      </c>
    </row>
    <row r="16" ht="15.0" customHeight="1">
      <c r="A16" s="10" t="s">
        <v>27</v>
      </c>
    </row>
    <row r="17" ht="15.0" customHeight="1">
      <c r="A17" s="13" t="s">
        <v>30</v>
      </c>
    </row>
    <row r="18" ht="15.0" customHeight="1">
      <c r="A18" s="14" t="s">
        <v>40</v>
      </c>
    </row>
    <row r="19">
      <c r="A19" s="2"/>
    </row>
    <row r="20">
      <c r="A20" s="2"/>
    </row>
    <row r="21" ht="15.75" customHeight="1">
      <c r="A21" s="2"/>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52.0"/>
    <col customWidth="1" min="2" max="2" width="14.0"/>
    <col customWidth="1" min="3" max="4" width="46.0"/>
    <col customWidth="1" min="5" max="5" width="36.0"/>
    <col customWidth="1" min="6" max="26" width="8.71"/>
  </cols>
  <sheetData>
    <row r="1" ht="17.25" customHeight="1">
      <c r="A1" s="1" t="s">
        <v>0</v>
      </c>
      <c r="B1" s="2"/>
      <c r="C1" s="2"/>
      <c r="D1" s="2"/>
      <c r="E1" s="2"/>
    </row>
    <row r="2" ht="15.0" customHeight="1">
      <c r="A2" s="5" t="s">
        <v>6</v>
      </c>
      <c r="B2" s="2"/>
      <c r="C2" s="2"/>
      <c r="D2" s="2"/>
      <c r="E2" s="2"/>
    </row>
    <row r="3">
      <c r="A3" s="2"/>
      <c r="B3" s="2"/>
      <c r="C3" s="2"/>
      <c r="D3" s="2"/>
      <c r="E3" s="2"/>
    </row>
    <row r="4" ht="26.25" customHeight="1">
      <c r="A4" s="6" t="s">
        <v>11</v>
      </c>
      <c r="B4" s="6" t="s">
        <v>17</v>
      </c>
      <c r="C4" s="6" t="s">
        <v>18</v>
      </c>
      <c r="D4" s="6" t="s">
        <v>19</v>
      </c>
      <c r="E4" s="6" t="s">
        <v>21</v>
      </c>
    </row>
    <row r="5" ht="33.75" customHeight="1">
      <c r="A5" s="7" t="s">
        <v>23</v>
      </c>
      <c r="B5" s="12"/>
      <c r="C5" s="7" t="s">
        <v>37</v>
      </c>
      <c r="D5" s="7" t="s">
        <v>38</v>
      </c>
      <c r="E5" s="12"/>
    </row>
    <row r="6" ht="33.75" customHeight="1">
      <c r="A6" s="7" t="s">
        <v>41</v>
      </c>
      <c r="B6" s="12"/>
      <c r="C6" s="7" t="s">
        <v>42</v>
      </c>
      <c r="D6" s="7" t="s">
        <v>43</v>
      </c>
      <c r="E6" s="12"/>
    </row>
    <row r="7" ht="33.75" customHeight="1">
      <c r="A7" s="7" t="s">
        <v>44</v>
      </c>
      <c r="B7" s="12"/>
      <c r="C7" s="7" t="s">
        <v>47</v>
      </c>
      <c r="D7" s="7" t="s">
        <v>48</v>
      </c>
      <c r="E7" s="12"/>
    </row>
    <row r="8" ht="33.75" customHeight="1">
      <c r="A8" s="7" t="s">
        <v>49</v>
      </c>
      <c r="B8" s="12"/>
      <c r="C8" s="7" t="s">
        <v>50</v>
      </c>
      <c r="D8" s="7" t="s">
        <v>51</v>
      </c>
      <c r="E8" s="12"/>
    </row>
    <row r="9" ht="33.75" customHeight="1">
      <c r="A9" s="7" t="s">
        <v>52</v>
      </c>
      <c r="B9" s="12"/>
      <c r="C9" s="7" t="s">
        <v>53</v>
      </c>
      <c r="D9" s="7" t="s">
        <v>54</v>
      </c>
      <c r="E9" s="12"/>
    </row>
    <row r="10" ht="61.5" customHeight="1">
      <c r="A10" s="7" t="s">
        <v>55</v>
      </c>
      <c r="B10" s="12"/>
      <c r="C10" s="7" t="s">
        <v>57</v>
      </c>
      <c r="D10" s="7" t="s">
        <v>58</v>
      </c>
      <c r="E10" s="12"/>
    </row>
    <row r="11">
      <c r="A11" s="2"/>
      <c r="B11" s="2"/>
      <c r="C11" s="2"/>
      <c r="D11" s="2"/>
      <c r="E11" s="2"/>
    </row>
    <row r="12" ht="15.0" customHeight="1">
      <c r="A12" s="8" t="s">
        <v>62</v>
      </c>
      <c r="B12" s="13">
        <f>COUNTIF(B5:B10,"Có")</f>
        <v>0</v>
      </c>
      <c r="C12" s="2"/>
      <c r="D12" s="2"/>
      <c r="E12" s="2"/>
    </row>
    <row r="13" ht="15.0" customHeight="1">
      <c r="A13" s="5" t="s">
        <v>93</v>
      </c>
      <c r="B13" s="2"/>
      <c r="C13" s="2"/>
      <c r="D13" s="2"/>
      <c r="E13" s="2"/>
    </row>
    <row r="14">
      <c r="A14" s="2"/>
      <c r="B14" s="2"/>
      <c r="C14" s="2"/>
      <c r="D14" s="2"/>
      <c r="E14" s="2"/>
    </row>
    <row r="15">
      <c r="A15" s="2"/>
      <c r="B15" s="2"/>
      <c r="C15" s="2"/>
      <c r="D15" s="2"/>
      <c r="E15" s="2"/>
    </row>
    <row r="16">
      <c r="A16" s="2"/>
      <c r="B16" s="2"/>
      <c r="C16" s="2"/>
      <c r="D16" s="2"/>
      <c r="E16" s="2"/>
    </row>
    <row r="17">
      <c r="A17" s="2"/>
      <c r="B17" s="2"/>
      <c r="C17" s="2"/>
      <c r="D17" s="2"/>
      <c r="E17" s="2"/>
    </row>
    <row r="18">
      <c r="A18" s="2"/>
      <c r="B18" s="2"/>
      <c r="C18" s="2"/>
      <c r="D18" s="2"/>
      <c r="E18" s="2"/>
    </row>
    <row r="19">
      <c r="A19" s="2"/>
      <c r="B19" s="2"/>
      <c r="C19" s="2"/>
      <c r="D19" s="2"/>
      <c r="E19" s="2"/>
    </row>
    <row r="20">
      <c r="A20" s="2"/>
      <c r="B20" s="2"/>
      <c r="C20" s="2"/>
      <c r="D20" s="2"/>
      <c r="E20" s="2"/>
    </row>
    <row r="21" ht="15.75" customHeight="1">
      <c r="A21" s="2"/>
      <c r="B21" s="2"/>
      <c r="C21" s="2"/>
      <c r="D21" s="2"/>
      <c r="E21" s="2"/>
    </row>
    <row r="22" ht="15.75" customHeight="1">
      <c r="A22" s="2"/>
      <c r="B22" s="2"/>
      <c r="C22" s="2"/>
      <c r="D22" s="2"/>
      <c r="E22" s="2"/>
    </row>
    <row r="23" ht="15.75" customHeight="1">
      <c r="A23" s="2"/>
      <c r="B23" s="2"/>
      <c r="C23" s="2"/>
      <c r="D23" s="2"/>
      <c r="E23" s="2"/>
    </row>
    <row r="24" ht="15.75" customHeight="1">
      <c r="A24" s="2"/>
      <c r="B24" s="2"/>
      <c r="C24" s="2"/>
      <c r="D24" s="2"/>
      <c r="E24" s="2"/>
    </row>
    <row r="25" ht="15.75" customHeight="1">
      <c r="A25" s="2"/>
      <c r="B25" s="2"/>
      <c r="C25" s="2"/>
      <c r="D25" s="2"/>
      <c r="E25" s="2"/>
    </row>
    <row r="26" ht="15.75" customHeight="1">
      <c r="A26" s="2"/>
      <c r="B26" s="2"/>
      <c r="C26" s="2"/>
      <c r="D26" s="2"/>
      <c r="E26" s="2"/>
    </row>
    <row r="27" ht="15.75" customHeight="1">
      <c r="A27" s="2"/>
      <c r="B27" s="2"/>
      <c r="C27" s="2"/>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dataValidations>
    <dataValidation type="list" allowBlank="1" sqref="B5:B10">
      <formula1>"Có,Chưa"</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outlineLevelRow="1"/>
  <cols>
    <col customWidth="1" min="1" max="1" width="6.0"/>
    <col customWidth="1" min="2" max="2" width="60.0"/>
    <col customWidth="1" min="3" max="5" width="14.0"/>
    <col customWidth="1" min="6" max="6" width="30.0"/>
    <col customWidth="1" min="7" max="7" width="34.0"/>
    <col customWidth="1" min="8" max="26" width="8.71"/>
  </cols>
  <sheetData>
    <row r="1" ht="17.25" customHeight="1">
      <c r="A1" s="1" t="s">
        <v>2</v>
      </c>
      <c r="B1" s="2"/>
      <c r="C1" s="2"/>
      <c r="D1" s="2"/>
      <c r="E1" s="2"/>
      <c r="F1" s="2"/>
      <c r="G1" s="2"/>
    </row>
    <row r="2" ht="15.0" customHeight="1">
      <c r="A2" s="5" t="s">
        <v>13</v>
      </c>
      <c r="B2" s="2"/>
      <c r="C2" s="2"/>
      <c r="D2" s="2"/>
      <c r="E2" s="2"/>
      <c r="F2" s="2"/>
      <c r="G2" s="2"/>
    </row>
    <row r="3" ht="31.5" customHeight="1">
      <c r="A3" s="9" t="s">
        <v>24</v>
      </c>
    </row>
    <row r="4">
      <c r="A4" s="2"/>
      <c r="B4" s="2"/>
      <c r="C4" s="2"/>
      <c r="D4" s="2"/>
      <c r="E4" s="2"/>
      <c r="F4" s="2"/>
      <c r="G4" s="2"/>
    </row>
    <row r="5" ht="15.0" customHeight="1">
      <c r="A5" s="8" t="s">
        <v>28</v>
      </c>
      <c r="B5" s="2"/>
      <c r="C5" s="2"/>
      <c r="D5" s="2"/>
      <c r="E5" s="2"/>
      <c r="F5" s="2"/>
      <c r="G5" s="2"/>
    </row>
    <row r="6" ht="31.5" customHeight="1">
      <c r="A6" s="11" t="s">
        <v>29</v>
      </c>
      <c r="B6" s="11" t="s">
        <v>31</v>
      </c>
      <c r="C6" s="11" t="s">
        <v>32</v>
      </c>
      <c r="D6" s="11" t="s">
        <v>33</v>
      </c>
      <c r="E6" s="11" t="s">
        <v>34</v>
      </c>
      <c r="F6" s="11" t="s">
        <v>35</v>
      </c>
      <c r="G6" s="11" t="s">
        <v>36</v>
      </c>
    </row>
    <row r="7" ht="30.0" customHeight="1">
      <c r="A7" s="15">
        <v>1.0</v>
      </c>
      <c r="B7" s="16" t="s">
        <v>45</v>
      </c>
      <c r="C7" s="17">
        <v>1000.0</v>
      </c>
      <c r="D7" s="17"/>
      <c r="E7" s="17"/>
      <c r="F7" s="18"/>
      <c r="G7" s="19" t="s">
        <v>56</v>
      </c>
    </row>
    <row r="8" ht="30.0" customHeight="1">
      <c r="A8" s="15">
        <v>2.0</v>
      </c>
      <c r="B8" s="16" t="s">
        <v>59</v>
      </c>
      <c r="C8" s="17">
        <v>300.0</v>
      </c>
      <c r="D8" s="17"/>
      <c r="E8" s="17"/>
      <c r="F8" s="18" t="s">
        <v>60</v>
      </c>
      <c r="G8" s="19" t="s">
        <v>61</v>
      </c>
    </row>
    <row r="9" ht="30.0" customHeight="1">
      <c r="A9" s="15">
        <v>3.0</v>
      </c>
      <c r="B9" s="16" t="s">
        <v>63</v>
      </c>
      <c r="C9" s="17">
        <v>360.0</v>
      </c>
      <c r="D9" s="17"/>
      <c r="E9" s="17"/>
      <c r="F9" s="18" t="s">
        <v>65</v>
      </c>
      <c r="G9" s="19" t="s">
        <v>66</v>
      </c>
    </row>
    <row r="10" ht="30.0" customHeight="1">
      <c r="A10" s="15">
        <v>4.0</v>
      </c>
      <c r="B10" s="16" t="s">
        <v>67</v>
      </c>
      <c r="C10" s="17">
        <v>50.0</v>
      </c>
      <c r="D10" s="17">
        <v>80.0</v>
      </c>
      <c r="E10" s="17">
        <v>110.0</v>
      </c>
      <c r="F10" s="18"/>
      <c r="G10" s="19" t="s">
        <v>70</v>
      </c>
    </row>
    <row r="11" ht="30.0" customHeight="1">
      <c r="A11" s="15">
        <v>5.0</v>
      </c>
      <c r="B11" s="16" t="s">
        <v>72</v>
      </c>
      <c r="C11" s="17">
        <v>240.0</v>
      </c>
      <c r="D11" s="17"/>
      <c r="E11" s="17"/>
      <c r="F11" s="18" t="s">
        <v>74</v>
      </c>
      <c r="G11" s="19" t="s">
        <v>75</v>
      </c>
    </row>
    <row r="12" ht="30.0" customHeight="1">
      <c r="A12" s="15">
        <v>6.0</v>
      </c>
      <c r="B12" s="16" t="s">
        <v>77</v>
      </c>
      <c r="C12" s="17"/>
      <c r="D12" s="17">
        <v>90.0</v>
      </c>
      <c r="E12" s="17"/>
      <c r="F12" s="18" t="s">
        <v>78</v>
      </c>
      <c r="G12" s="19" t="s">
        <v>79</v>
      </c>
    </row>
    <row r="13" ht="30.0" customHeight="1">
      <c r="A13" s="15">
        <v>7.0</v>
      </c>
      <c r="B13" s="16" t="s">
        <v>80</v>
      </c>
      <c r="C13" s="17">
        <v>15.0</v>
      </c>
      <c r="D13" s="17">
        <v>25.0</v>
      </c>
      <c r="E13" s="17">
        <v>35.0</v>
      </c>
      <c r="F13" s="18" t="s">
        <v>82</v>
      </c>
      <c r="G13" s="19" t="s">
        <v>83</v>
      </c>
    </row>
    <row r="14" ht="30.0" customHeight="1">
      <c r="A14" s="15">
        <v>8.0</v>
      </c>
      <c r="B14" s="16" t="s">
        <v>84</v>
      </c>
      <c r="C14" s="17">
        <v>10.0</v>
      </c>
      <c r="D14" s="17">
        <v>10.0</v>
      </c>
      <c r="E14" s="17">
        <v>10.0</v>
      </c>
      <c r="F14" s="18"/>
      <c r="G14" s="19" t="s">
        <v>85</v>
      </c>
    </row>
    <row r="15" ht="30.0" customHeight="1">
      <c r="A15" s="15">
        <v>9.0</v>
      </c>
      <c r="B15" s="16" t="s">
        <v>86</v>
      </c>
      <c r="C15" s="17">
        <v>120.0</v>
      </c>
      <c r="D15" s="17">
        <v>120.0</v>
      </c>
      <c r="E15" s="17">
        <v>120.0</v>
      </c>
      <c r="F15" s="18"/>
      <c r="G15" s="19" t="s">
        <v>85</v>
      </c>
    </row>
    <row r="16" ht="30.0" customHeight="1">
      <c r="A16" s="15">
        <v>10.0</v>
      </c>
      <c r="B16" s="16" t="s">
        <v>87</v>
      </c>
      <c r="C16" s="17">
        <v>20.0</v>
      </c>
      <c r="D16" s="17">
        <v>20.0</v>
      </c>
      <c r="E16" s="17">
        <v>20.0</v>
      </c>
      <c r="F16" s="18"/>
      <c r="G16" s="19" t="s">
        <v>85</v>
      </c>
    </row>
    <row r="17" ht="30.0" customHeight="1">
      <c r="A17" s="15">
        <v>11.0</v>
      </c>
      <c r="B17" s="16" t="s">
        <v>89</v>
      </c>
      <c r="C17" s="17">
        <v>0.0</v>
      </c>
      <c r="D17" s="17">
        <v>0.0</v>
      </c>
      <c r="E17" s="17">
        <v>0.0</v>
      </c>
      <c r="F17" s="18" t="s">
        <v>90</v>
      </c>
      <c r="G17" s="19" t="s">
        <v>91</v>
      </c>
    </row>
    <row r="18">
      <c r="A18" s="2"/>
      <c r="B18" s="2"/>
      <c r="C18" s="2"/>
      <c r="D18" s="2"/>
      <c r="E18" s="2"/>
      <c r="F18" s="2"/>
      <c r="G18" s="2"/>
    </row>
    <row r="19" ht="16.5" customHeight="1">
      <c r="A19" s="25" t="s">
        <v>94</v>
      </c>
    </row>
    <row r="20" ht="15.0" customHeight="1">
      <c r="A20" s="2"/>
      <c r="B20" s="11" t="s">
        <v>96</v>
      </c>
      <c r="C20" s="11" t="s">
        <v>32</v>
      </c>
      <c r="D20" s="11" t="s">
        <v>33</v>
      </c>
      <c r="E20" s="11" t="s">
        <v>34</v>
      </c>
      <c r="F20" s="11" t="s">
        <v>97</v>
      </c>
      <c r="G20" s="11" t="s">
        <v>98</v>
      </c>
    </row>
    <row r="21" ht="15.0" customHeight="1">
      <c r="A21" s="2"/>
      <c r="B21" s="27" t="s">
        <v>99</v>
      </c>
      <c r="C21" s="31">
        <f>C10+C11/12+C12</f>
        <v>70</v>
      </c>
      <c r="D21" s="31">
        <f>D10+C11/12+D12</f>
        <v>190</v>
      </c>
      <c r="E21" s="31">
        <f>E10+C11/12+E12</f>
        <v>130</v>
      </c>
      <c r="F21" s="33">
        <f t="shared" ref="F21:F31" si="2">IF(COUNT(C21:E21)=0,"",SUM(C21:E21))</f>
        <v>390</v>
      </c>
      <c r="G21" s="2"/>
    </row>
    <row r="22" ht="15.0" customHeight="1">
      <c r="A22" s="2"/>
      <c r="B22" s="27" t="s">
        <v>139</v>
      </c>
      <c r="C22" s="31">
        <f t="shared" ref="C22:E22" si="1">C13+C14</f>
        <v>25</v>
      </c>
      <c r="D22" s="31">
        <f t="shared" si="1"/>
        <v>35</v>
      </c>
      <c r="E22" s="31">
        <f t="shared" si="1"/>
        <v>45</v>
      </c>
      <c r="F22" s="33">
        <f t="shared" si="2"/>
        <v>105</v>
      </c>
      <c r="G22" s="2"/>
    </row>
    <row r="23" ht="15.0" customHeight="1">
      <c r="A23" s="2"/>
      <c r="B23" s="34" t="s">
        <v>140</v>
      </c>
      <c r="C23" s="31">
        <f t="shared" ref="C23:E23" si="3">C21-C22</f>
        <v>45</v>
      </c>
      <c r="D23" s="31">
        <f t="shared" si="3"/>
        <v>155</v>
      </c>
      <c r="E23" s="31">
        <f t="shared" si="3"/>
        <v>85</v>
      </c>
      <c r="F23" s="35">
        <f t="shared" si="2"/>
        <v>285</v>
      </c>
      <c r="G23" s="37" t="str">
        <f>IF(COUNT(C21:E21,C22:E22,C23:E23)&lt;9,"Chưa điền",IF(AND(ABS(C23-(C21-C22))&lt;0.01,ABS(D23-(D21-D22))&lt;0.01,ABS(E23-(E21-E22))&lt;0.01),"Đạt","Xem lại phép trừ"))</f>
        <v>Đạt</v>
      </c>
    </row>
    <row r="24" ht="15.0" customHeight="1">
      <c r="A24" s="2"/>
      <c r="B24" s="27" t="s">
        <v>146</v>
      </c>
      <c r="C24" s="39">
        <f t="shared" ref="C24:E24" si="4">SUM(C15:C17)</f>
        <v>140</v>
      </c>
      <c r="D24" s="39">
        <f t="shared" si="4"/>
        <v>140</v>
      </c>
      <c r="E24" s="39">
        <f t="shared" si="4"/>
        <v>140</v>
      </c>
      <c r="F24" s="33">
        <f t="shared" si="2"/>
        <v>420</v>
      </c>
      <c r="G24" s="2"/>
    </row>
    <row r="25" ht="15.0" customHeight="1">
      <c r="A25" s="2"/>
      <c r="B25" s="34" t="s">
        <v>149</v>
      </c>
      <c r="C25" s="39">
        <f t="shared" ref="C25:E25" si="5">C23-C24</f>
        <v>-95</v>
      </c>
      <c r="D25" s="39">
        <f t="shared" si="5"/>
        <v>15</v>
      </c>
      <c r="E25" s="39">
        <f t="shared" si="5"/>
        <v>-55</v>
      </c>
      <c r="F25" s="35">
        <f t="shared" si="2"/>
        <v>-135</v>
      </c>
      <c r="G25" s="37" t="str">
        <f>IF(COUNT(C23:E23,C24:E24,C25:E25)&lt;9,"Chưa điền",IF(AND(ABS(C25-(C23-C24))&lt;0.01,ABS(D25-(D23-D24))&lt;0.01,ABS(E25-(E23-E24))&lt;0.01),"Đạt","Xem lại phép trừ"))</f>
        <v>Đạt</v>
      </c>
    </row>
    <row r="26" ht="15.0" customHeight="1">
      <c r="A26" s="2"/>
      <c r="B26" s="27" t="s">
        <v>153</v>
      </c>
      <c r="C26" s="31">
        <f>C9/36</f>
        <v>10</v>
      </c>
      <c r="D26" s="39">
        <f>C9/36</f>
        <v>10</v>
      </c>
      <c r="E26" s="31">
        <f>C9/36</f>
        <v>10</v>
      </c>
      <c r="F26" s="33">
        <f t="shared" si="2"/>
        <v>30</v>
      </c>
      <c r="G26" s="2"/>
    </row>
    <row r="27" ht="15.0" customHeight="1">
      <c r="A27" s="2"/>
      <c r="B27" s="34" t="s">
        <v>154</v>
      </c>
      <c r="C27" s="31">
        <f t="shared" ref="C27:E27" si="6">C25-C26</f>
        <v>-105</v>
      </c>
      <c r="D27" s="31">
        <f t="shared" si="6"/>
        <v>5</v>
      </c>
      <c r="E27" s="31">
        <f t="shared" si="6"/>
        <v>-65</v>
      </c>
      <c r="F27" s="35">
        <f t="shared" si="2"/>
        <v>-165</v>
      </c>
      <c r="G27" s="37" t="str">
        <f>IF(COUNT(C25:E25,C26:E26,C27:E27)&lt;9,"Chưa điền",IF(AND(ABS(C27-(C25-C26))&lt;0.01,ABS(D27-(D25-D26))&lt;0.01,ABS(E27-(E25-E26))&lt;0.01),"Đạt","Xem lại phép trừ"))</f>
        <v>Đạt</v>
      </c>
    </row>
    <row r="28" ht="15.0" customHeight="1">
      <c r="A28" s="2"/>
      <c r="B28" s="27" t="s">
        <v>61</v>
      </c>
      <c r="C28" s="31">
        <f>C8*0.12/12</f>
        <v>3</v>
      </c>
      <c r="D28" s="31">
        <f>C8*0.12/12</f>
        <v>3</v>
      </c>
      <c r="E28" s="31">
        <f>C8*0.12/12</f>
        <v>3</v>
      </c>
      <c r="F28" s="33">
        <f t="shared" si="2"/>
        <v>9</v>
      </c>
      <c r="G28" s="2"/>
    </row>
    <row r="29" ht="15.0" customHeight="1">
      <c r="A29" s="2"/>
      <c r="B29" s="34" t="s">
        <v>155</v>
      </c>
      <c r="C29" s="31">
        <f t="shared" ref="C29:E29" si="7">C27-C28</f>
        <v>-108</v>
      </c>
      <c r="D29" s="31">
        <f t="shared" si="7"/>
        <v>2</v>
      </c>
      <c r="E29" s="31">
        <f t="shared" si="7"/>
        <v>-68</v>
      </c>
      <c r="F29" s="35">
        <f t="shared" si="2"/>
        <v>-174</v>
      </c>
      <c r="G29" s="37" t="str">
        <f>IF(COUNT(C27:E27,C28:E28,C29:E29)&lt;9,"Chưa điền",IF(AND(ABS(C29-(C27-C28))&lt;0.01,ABS(D29-(D27-D28))&lt;0.01,ABS(E29-(E27-E28))&lt;0.01),"Đạt","Xem lại phép trừ"))</f>
        <v>Đạt</v>
      </c>
    </row>
    <row r="30" ht="15.0" customHeight="1">
      <c r="A30" s="2"/>
      <c r="B30" s="27" t="s">
        <v>89</v>
      </c>
      <c r="C30" s="31">
        <f t="shared" ref="C30:E30" si="8">C17</f>
        <v>0</v>
      </c>
      <c r="D30" s="31">
        <f t="shared" si="8"/>
        <v>0</v>
      </c>
      <c r="E30" s="31">
        <f t="shared" si="8"/>
        <v>0</v>
      </c>
      <c r="F30" s="33">
        <f t="shared" si="2"/>
        <v>0</v>
      </c>
      <c r="G30" s="2"/>
    </row>
    <row r="31" ht="15.0" customHeight="1">
      <c r="A31" s="2"/>
      <c r="B31" s="34" t="s">
        <v>156</v>
      </c>
      <c r="C31" s="31">
        <f t="shared" ref="C31:E31" si="9">C29-C30</f>
        <v>-108</v>
      </c>
      <c r="D31" s="31">
        <f t="shared" si="9"/>
        <v>2</v>
      </c>
      <c r="E31" s="31">
        <f t="shared" si="9"/>
        <v>-68</v>
      </c>
      <c r="F31" s="35">
        <f t="shared" si="2"/>
        <v>-174</v>
      </c>
      <c r="G31" s="37" t="str">
        <f>IF(COUNT(C29:E29,C30:E30,C31:E31)&lt;9,"Chưa điền",IF(AND(ABS(C31-(C29-C30))&lt;0.01,ABS(D31-(D29-D30))&lt;0.01,ABS(E31-(E29-E30))&lt;0.01),"Đạt","Xem lại phép trừ"))</f>
        <v>Đạt</v>
      </c>
    </row>
    <row r="32" ht="15.0" customHeight="1">
      <c r="A32" s="2"/>
      <c r="B32" s="27" t="s">
        <v>157</v>
      </c>
      <c r="C32" s="41">
        <f t="shared" ref="C32:F32" si="10">IFERROR(C23/C21,"")</f>
        <v>0.6428571429</v>
      </c>
      <c r="D32" s="41">
        <f t="shared" si="10"/>
        <v>0.8157894737</v>
      </c>
      <c r="E32" s="41">
        <f t="shared" si="10"/>
        <v>0.6538461538</v>
      </c>
      <c r="F32" s="41">
        <f t="shared" si="10"/>
        <v>0.7307692308</v>
      </c>
      <c r="G32" s="2"/>
    </row>
    <row r="33" ht="45.0" customHeight="1">
      <c r="A33" s="2"/>
      <c r="B33" s="42" t="s">
        <v>158</v>
      </c>
      <c r="C33" s="2"/>
      <c r="D33" s="2"/>
      <c r="E33" s="2"/>
      <c r="F33" s="2"/>
      <c r="G33" s="43" t="str">
        <f>IF(COUNT(C31:E31)&lt;3,"Chưa điền",IF(ABS(F31+174)&lt;0.01,"Đạt: đã ghi theo kỳ","Chưa đúng: có giao dịch đang ghi theo ngày tiền vào ra (xem cột G, dòng 7–17)"))</f>
        <v>Đạt: đã ghi theo kỳ</v>
      </c>
    </row>
    <row r="34" ht="16.5" customHeight="1">
      <c r="A34" s="25" t="s">
        <v>159</v>
      </c>
    </row>
    <row r="35" ht="15.0" customHeight="1">
      <c r="A35" s="2"/>
      <c r="B35" s="11" t="s">
        <v>96</v>
      </c>
      <c r="C35" s="11" t="s">
        <v>160</v>
      </c>
      <c r="D35" s="2"/>
      <c r="E35" s="2"/>
      <c r="F35" s="2"/>
      <c r="G35" s="11" t="s">
        <v>98</v>
      </c>
    </row>
    <row r="36" ht="15.0" customHeight="1">
      <c r="A36" s="2"/>
      <c r="B36" s="8" t="s">
        <v>161</v>
      </c>
      <c r="C36" s="2"/>
      <c r="D36" s="2"/>
      <c r="E36" s="2"/>
      <c r="F36" s="2"/>
      <c r="G36" s="2"/>
    </row>
    <row r="37" ht="15.0" customHeight="1">
      <c r="A37" s="2"/>
      <c r="B37" s="27" t="s">
        <v>162</v>
      </c>
      <c r="C37" s="31"/>
      <c r="D37" s="2"/>
      <c r="E37" s="2"/>
      <c r="F37" s="2"/>
      <c r="G37" s="2"/>
    </row>
    <row r="38" ht="15.0" customHeight="1">
      <c r="A38" s="2"/>
      <c r="B38" s="27" t="s">
        <v>163</v>
      </c>
      <c r="C38" s="31"/>
      <c r="D38" s="2"/>
      <c r="E38" s="2"/>
      <c r="F38" s="2"/>
      <c r="G38" s="2"/>
    </row>
    <row r="39" ht="15.0" customHeight="1">
      <c r="A39" s="2"/>
      <c r="B39" s="27" t="s">
        <v>164</v>
      </c>
      <c r="C39" s="31"/>
      <c r="D39" s="2"/>
      <c r="E39" s="2"/>
      <c r="F39" s="2"/>
      <c r="G39" s="2"/>
    </row>
    <row r="40" ht="15.0" customHeight="1">
      <c r="A40" s="2"/>
      <c r="B40" s="27" t="s">
        <v>165</v>
      </c>
      <c r="C40" s="31"/>
      <c r="D40" s="2"/>
      <c r="E40" s="2"/>
      <c r="F40" s="2"/>
      <c r="G40" s="2"/>
    </row>
    <row r="41" ht="15.0" customHeight="1">
      <c r="A41" s="2"/>
      <c r="B41" s="34" t="s">
        <v>166</v>
      </c>
      <c r="C41" s="31"/>
      <c r="D41" s="2"/>
      <c r="E41" s="2"/>
      <c r="F41" s="2"/>
      <c r="G41" s="37" t="str">
        <f>IF(COUNT(C37:C41)&lt;5,"Chưa điền",IF(ABS(C41-SUM(C37:C40))&lt;0.01,"Đạt","Xem lại phép cộng"))</f>
        <v>Chưa điền</v>
      </c>
    </row>
    <row r="42" ht="15.0" customHeight="1">
      <c r="A42" s="2"/>
      <c r="B42" s="8" t="s">
        <v>167</v>
      </c>
      <c r="C42" s="2"/>
      <c r="D42" s="2"/>
      <c r="E42" s="2"/>
      <c r="F42" s="2"/>
      <c r="G42" s="2"/>
    </row>
    <row r="43" ht="15.0" customHeight="1">
      <c r="A43" s="2"/>
      <c r="B43" s="27" t="s">
        <v>168</v>
      </c>
      <c r="C43" s="31"/>
      <c r="D43" s="2"/>
      <c r="E43" s="2"/>
      <c r="F43" s="2"/>
      <c r="G43" s="2"/>
    </row>
    <row r="44" ht="15.0" customHeight="1">
      <c r="A44" s="2"/>
      <c r="B44" s="27" t="s">
        <v>169</v>
      </c>
      <c r="C44" s="31"/>
      <c r="D44" s="2"/>
      <c r="E44" s="2"/>
      <c r="F44" s="2"/>
      <c r="G44" s="2"/>
    </row>
    <row r="45" ht="15.0" customHeight="1">
      <c r="A45" s="2"/>
      <c r="B45" s="27" t="s">
        <v>170</v>
      </c>
      <c r="C45" s="31"/>
      <c r="D45" s="2"/>
      <c r="E45" s="2"/>
      <c r="F45" s="2"/>
      <c r="G45" s="2"/>
    </row>
    <row r="46" ht="15.0" customHeight="1">
      <c r="A46" s="2"/>
      <c r="B46" s="34" t="s">
        <v>171</v>
      </c>
      <c r="C46" s="31"/>
      <c r="D46" s="2"/>
      <c r="E46" s="2"/>
      <c r="F46" s="2"/>
      <c r="G46" s="37" t="str">
        <f>IF(COUNT(C43:C46)&lt;4,"Chưa điền",IF(ABS(C46-SUM(C43:C45))&lt;0.01,"Đạt","Xem lại phép cộng"))</f>
        <v>Chưa điền</v>
      </c>
    </row>
    <row r="47" ht="15.0" customHeight="1">
      <c r="A47" s="2"/>
      <c r="B47" s="8" t="s">
        <v>172</v>
      </c>
      <c r="C47" s="2"/>
      <c r="D47" s="2"/>
      <c r="E47" s="2"/>
      <c r="F47" s="2"/>
      <c r="G47" s="2"/>
    </row>
    <row r="48" ht="15.0" customHeight="1">
      <c r="A48" s="2"/>
      <c r="B48" s="27" t="s">
        <v>173</v>
      </c>
      <c r="C48" s="31"/>
      <c r="D48" s="2"/>
      <c r="E48" s="2"/>
      <c r="F48" s="2"/>
      <c r="G48" s="2"/>
    </row>
    <row r="49" ht="15.0" customHeight="1">
      <c r="A49" s="2"/>
      <c r="B49" s="27" t="s">
        <v>174</v>
      </c>
      <c r="C49" s="31"/>
      <c r="D49" s="2"/>
      <c r="E49" s="2"/>
      <c r="F49" s="2"/>
      <c r="G49" s="2"/>
    </row>
    <row r="50" ht="15.0" customHeight="1">
      <c r="A50" s="2"/>
      <c r="B50" s="34" t="s">
        <v>175</v>
      </c>
      <c r="C50" s="31"/>
      <c r="D50" s="2"/>
      <c r="E50" s="2"/>
      <c r="F50" s="2"/>
      <c r="G50" s="37" t="str">
        <f>IF(COUNT(C48:C50)&lt;3,"Chưa điền",IF(ABS(C50-SUM(C48:C49))&lt;0.01,"Đạt","Xem lại phép cộng"))</f>
        <v>Chưa điền</v>
      </c>
    </row>
    <row r="51" ht="15.0" customHeight="1">
      <c r="A51" s="2"/>
      <c r="B51" s="27" t="s">
        <v>176</v>
      </c>
      <c r="C51" s="31"/>
      <c r="D51" s="2"/>
      <c r="E51" s="2"/>
      <c r="F51" s="2"/>
      <c r="G51" s="37" t="str">
        <f>IF(COUNT(C46,C50,C51)&lt;3,"Chưa điền",IF(ABS(C51-(C46+C50))&lt;0.01,"Đạt","Xem lại phép cộng"))</f>
        <v>Chưa điền</v>
      </c>
    </row>
    <row r="52" ht="15.0" customHeight="1">
      <c r="A52" s="2"/>
      <c r="B52" s="34" t="s">
        <v>177</v>
      </c>
      <c r="C52" s="2"/>
      <c r="D52" s="2"/>
      <c r="E52" s="2"/>
      <c r="F52" s="2"/>
      <c r="G52" s="44" t="str">
        <f>IF(COUNT(C41,C51)&lt;2,"Chưa điền",IF(ABS(C41-C51)&lt;0.01,"Đạt: bảng đã cân","Chưa cân: tìm khoản ghi sai"))</f>
        <v>Chưa điền</v>
      </c>
    </row>
    <row r="53" ht="15.0" customHeight="1">
      <c r="A53" s="2"/>
      <c r="B53" s="34" t="s">
        <v>178</v>
      </c>
      <c r="C53" s="2"/>
      <c r="D53" s="2"/>
      <c r="E53" s="2"/>
      <c r="F53" s="2"/>
      <c r="G53" s="44" t="str">
        <f>IF(COUNT(C49,F31)&lt;2,"Chưa điền",IF(ABS(C49-F31)&lt;0.01,"Đạt","Chưa khớp bài 1"))</f>
        <v>Chưa điền</v>
      </c>
    </row>
    <row r="54" ht="15.75" customHeight="1">
      <c r="A54" s="2"/>
      <c r="B54" s="2"/>
      <c r="C54" s="2"/>
      <c r="D54" s="2"/>
      <c r="E54" s="2"/>
      <c r="F54" s="2"/>
      <c r="G54" s="2"/>
    </row>
    <row r="55" ht="16.5" customHeight="1">
      <c r="A55" s="25" t="s">
        <v>179</v>
      </c>
    </row>
    <row r="56" ht="15.0" customHeight="1">
      <c r="A56" s="2"/>
      <c r="B56" s="11" t="s">
        <v>96</v>
      </c>
      <c r="C56" s="11" t="s">
        <v>160</v>
      </c>
      <c r="D56" s="2"/>
      <c r="E56" s="2"/>
      <c r="F56" s="2"/>
      <c r="G56" s="11" t="s">
        <v>98</v>
      </c>
    </row>
    <row r="57" ht="15.0" customHeight="1">
      <c r="A57" s="2"/>
      <c r="B57" s="27" t="s">
        <v>156</v>
      </c>
      <c r="C57" s="31"/>
      <c r="D57" s="2"/>
      <c r="E57" s="2"/>
      <c r="F57" s="2"/>
      <c r="G57" s="2"/>
    </row>
    <row r="58" ht="16.5" customHeight="1">
      <c r="A58" s="2"/>
      <c r="B58" s="7" t="s">
        <v>180</v>
      </c>
      <c r="C58" s="31"/>
      <c r="D58" s="2"/>
      <c r="E58" s="2"/>
      <c r="F58" s="2"/>
      <c r="G58" s="2"/>
    </row>
    <row r="59" ht="31.5" customHeight="1">
      <c r="A59" s="2"/>
      <c r="B59" s="7" t="s">
        <v>181</v>
      </c>
      <c r="C59" s="31"/>
      <c r="D59" s="2"/>
      <c r="E59" s="2"/>
      <c r="F59" s="2"/>
      <c r="G59" s="2"/>
    </row>
    <row r="60" ht="31.5" customHeight="1">
      <c r="A60" s="2"/>
      <c r="B60" s="7" t="s">
        <v>182</v>
      </c>
      <c r="C60" s="31"/>
      <c r="D60" s="2"/>
      <c r="E60" s="2"/>
      <c r="F60" s="2"/>
      <c r="G60" s="2"/>
    </row>
    <row r="61" ht="16.5" customHeight="1">
      <c r="A61" s="2"/>
      <c r="B61" s="7" t="s">
        <v>183</v>
      </c>
      <c r="C61" s="31"/>
      <c r="D61" s="2"/>
      <c r="E61" s="2"/>
      <c r="F61" s="2"/>
      <c r="G61" s="2"/>
    </row>
    <row r="62" ht="15.0" customHeight="1">
      <c r="A62" s="2"/>
      <c r="B62" s="34" t="s">
        <v>184</v>
      </c>
      <c r="C62" s="31"/>
      <c r="D62" s="2"/>
      <c r="E62" s="2"/>
      <c r="F62" s="2"/>
      <c r="G62" s="37" t="str">
        <f>IF(COUNT(C57:C62)&lt;6,"Chưa điền",IF(ABS(C62-SUM(C57:C61))&lt;0.01,"Đạt","Xem lại phép cộng"))</f>
        <v>Chưa điền</v>
      </c>
    </row>
    <row r="63" ht="15.0" customHeight="1">
      <c r="A63" s="2"/>
      <c r="B63" s="27" t="s">
        <v>185</v>
      </c>
      <c r="C63" s="31"/>
      <c r="D63" s="2"/>
      <c r="E63" s="2"/>
      <c r="F63" s="2"/>
      <c r="G63" s="2"/>
    </row>
    <row r="64" ht="15.0" customHeight="1">
      <c r="A64" s="2"/>
      <c r="B64" s="34" t="s">
        <v>186</v>
      </c>
      <c r="C64" s="31"/>
      <c r="D64" s="2"/>
      <c r="E64" s="2"/>
      <c r="F64" s="2"/>
      <c r="G64" s="37" t="str">
        <f>IF(COUNT(C63:C64)&lt;2,"Chưa điền",IF(ABS(C64-SUM(C63))&lt;0.01,"Đạt","Xem lại phép cộng"))</f>
        <v>Chưa điền</v>
      </c>
    </row>
    <row r="65" ht="15.0" customHeight="1">
      <c r="A65" s="2"/>
      <c r="B65" s="27" t="s">
        <v>188</v>
      </c>
      <c r="C65" s="31"/>
      <c r="D65" s="2"/>
      <c r="E65" s="2"/>
      <c r="F65" s="2"/>
      <c r="G65" s="2"/>
    </row>
    <row r="66" ht="15.0" customHeight="1">
      <c r="A66" s="2"/>
      <c r="B66" s="27" t="s">
        <v>189</v>
      </c>
      <c r="C66" s="31"/>
      <c r="D66" s="2"/>
      <c r="E66" s="2"/>
      <c r="F66" s="2"/>
      <c r="G66" s="2"/>
    </row>
    <row r="67" ht="15.0" customHeight="1">
      <c r="A67" s="2"/>
      <c r="B67" s="34" t="s">
        <v>190</v>
      </c>
      <c r="C67" s="31"/>
      <c r="D67" s="2"/>
      <c r="E67" s="2"/>
      <c r="F67" s="2"/>
      <c r="G67" s="37" t="str">
        <f>IF(COUNT(C65:C67)&lt;3,"Chưa điền",IF(ABS(C67-SUM(C65:C66))&lt;0.01,"Đạt","Xem lại phép cộng"))</f>
        <v>Chưa điền</v>
      </c>
    </row>
    <row r="68" ht="15.0" customHeight="1">
      <c r="A68" s="2"/>
      <c r="B68" s="34" t="s">
        <v>192</v>
      </c>
      <c r="C68" s="31"/>
      <c r="D68" s="2"/>
      <c r="E68" s="2"/>
      <c r="F68" s="2"/>
      <c r="G68" s="37" t="str">
        <f>IF(COUNT(C62,C64,C67,C68)&lt;4,"Chưa điền",IF(ABS(C68-(C62+C64+C67))&lt;0.01,"Đạt","Xem lại phép cộng"))</f>
        <v>Chưa điền</v>
      </c>
    </row>
    <row r="69" ht="15.0" customHeight="1">
      <c r="A69" s="2"/>
      <c r="B69" s="27" t="s">
        <v>197</v>
      </c>
      <c r="C69" s="48">
        <v>0.0</v>
      </c>
      <c r="D69" s="2"/>
      <c r="E69" s="2"/>
      <c r="F69" s="2"/>
      <c r="G69" s="2"/>
    </row>
    <row r="70" ht="15.0" customHeight="1">
      <c r="A70" s="2"/>
      <c r="B70" s="34" t="s">
        <v>199</v>
      </c>
      <c r="C70" s="31"/>
      <c r="D70" s="2"/>
      <c r="E70" s="2"/>
      <c r="F70" s="2"/>
      <c r="G70" s="37" t="str">
        <f>IF(COUNT(C68:C70)&lt;3,"Chưa điền",IF(ABS(C70-(C68+C69))&lt;0.01,"Đạt","Xem lại phép cộng"))</f>
        <v>Chưa điền</v>
      </c>
    </row>
    <row r="71" ht="31.5" customHeight="1">
      <c r="A71" s="2"/>
      <c r="B71" s="34" t="s">
        <v>207</v>
      </c>
      <c r="C71" s="2"/>
      <c r="D71" s="2"/>
      <c r="E71" s="2"/>
      <c r="F71" s="2"/>
      <c r="G71" s="43" t="str">
        <f>IF(COUNT(C70,C37)&lt;2,"Chưa điền",IF(ABS(C70-C37)&lt;0.01,"Đạt: ba báo cáo đã khớp","Chưa khớp: soát dấu +/− ở dòng 58–66, rồi soát dòng Tiền ở bảng cân đối"))</f>
        <v>Chưa điền</v>
      </c>
    </row>
    <row r="72" ht="15.0" customHeight="1">
      <c r="A72" s="2"/>
      <c r="B72" s="34" t="s">
        <v>223</v>
      </c>
      <c r="C72" s="2"/>
      <c r="D72" s="2"/>
      <c r="E72" s="2"/>
      <c r="F72" s="2"/>
      <c r="G72" s="44" t="str">
        <f>IF(COUNT(C57,F31)&lt;2,"Chưa điền",IF(ABS(C57-F31)&lt;0.01,"Đạt","Chưa khớp bài 1"))</f>
        <v>Chưa điền</v>
      </c>
    </row>
    <row r="73" ht="15.75" customHeight="1">
      <c r="A73" s="2"/>
      <c r="B73" s="2"/>
      <c r="C73" s="2"/>
      <c r="D73" s="2"/>
      <c r="E73" s="2"/>
      <c r="F73" s="2"/>
      <c r="G73" s="2"/>
    </row>
    <row r="74" ht="15.0" customHeight="1">
      <c r="A74" s="8" t="s">
        <v>224</v>
      </c>
      <c r="B74" s="2"/>
      <c r="C74" s="2"/>
      <c r="D74" s="2"/>
      <c r="E74" s="2"/>
      <c r="F74" s="2"/>
      <c r="G74" s="2"/>
    </row>
    <row r="75" ht="48.0" customHeight="1">
      <c r="A75" s="2"/>
      <c r="B75" s="7" t="s">
        <v>225</v>
      </c>
      <c r="C75" s="54"/>
      <c r="D75" s="55"/>
      <c r="E75" s="55"/>
      <c r="F75" s="55"/>
      <c r="G75" s="56"/>
    </row>
    <row r="76" ht="48.0" customHeight="1">
      <c r="A76" s="2"/>
      <c r="B76" s="7" t="s">
        <v>226</v>
      </c>
      <c r="C76" s="54"/>
      <c r="D76" s="55"/>
      <c r="E76" s="55"/>
      <c r="F76" s="55"/>
      <c r="G76" s="56"/>
    </row>
    <row r="77" ht="48.0" customHeight="1">
      <c r="A77" s="2"/>
      <c r="B77" s="7" t="s">
        <v>227</v>
      </c>
      <c r="C77" s="54"/>
      <c r="D77" s="55"/>
      <c r="E77" s="55"/>
      <c r="F77" s="55"/>
      <c r="G77" s="56"/>
    </row>
    <row r="78" ht="48.0" customHeight="1">
      <c r="A78" s="2"/>
      <c r="B78" s="7" t="s">
        <v>228</v>
      </c>
      <c r="C78" s="54"/>
      <c r="D78" s="55"/>
      <c r="E78" s="55"/>
      <c r="F78" s="55"/>
      <c r="G78" s="56"/>
    </row>
    <row r="79" ht="15.75" customHeight="1">
      <c r="A79" s="2"/>
      <c r="B79" s="2"/>
      <c r="C79" s="2"/>
      <c r="D79" s="2"/>
      <c r="E79" s="2"/>
      <c r="F79" s="2"/>
      <c r="G79" s="2"/>
    </row>
    <row r="80" ht="15.0" customHeight="1">
      <c r="A80" s="8" t="s">
        <v>229</v>
      </c>
      <c r="B80" s="2"/>
      <c r="C80" s="2"/>
      <c r="D80" s="2"/>
      <c r="E80" s="2"/>
      <c r="F80" s="2"/>
      <c r="G80" s="2"/>
    </row>
    <row r="81" ht="31.5" customHeight="1">
      <c r="A81" s="2"/>
      <c r="B81" s="9" t="s">
        <v>230</v>
      </c>
    </row>
    <row r="82" ht="15.0" customHeight="1">
      <c r="A82" s="2"/>
      <c r="B82" s="27" t="s">
        <v>231</v>
      </c>
      <c r="C82" s="48">
        <v>360.0</v>
      </c>
      <c r="D82" s="2"/>
      <c r="E82" s="2"/>
      <c r="F82" s="2"/>
      <c r="G82" s="2"/>
    </row>
    <row r="83" ht="15.0" customHeight="1">
      <c r="A83" s="2"/>
      <c r="B83" s="27" t="s">
        <v>232</v>
      </c>
      <c r="C83" s="48">
        <v>12.0</v>
      </c>
      <c r="D83" s="2"/>
      <c r="E83" s="2"/>
      <c r="F83" s="2"/>
      <c r="G83" s="2"/>
    </row>
    <row r="84" ht="15.0" customHeight="1">
      <c r="A84" s="2"/>
      <c r="B84" s="27" t="s">
        <v>233</v>
      </c>
      <c r="C84" s="48">
        <v>36.0</v>
      </c>
      <c r="D84" s="2"/>
      <c r="E84" s="2"/>
      <c r="F84" s="2"/>
      <c r="G84" s="2"/>
    </row>
    <row r="85" ht="15.0" customHeight="1">
      <c r="A85" s="2"/>
      <c r="B85" s="27" t="s">
        <v>234</v>
      </c>
      <c r="C85" s="57">
        <v>0.15</v>
      </c>
      <c r="D85" s="2"/>
      <c r="E85" s="2"/>
      <c r="F85" s="2"/>
      <c r="G85" s="2"/>
    </row>
    <row r="86" ht="46.5" customHeight="1">
      <c r="A86" s="2"/>
      <c r="B86" s="7" t="s">
        <v>235</v>
      </c>
      <c r="C86" s="58"/>
      <c r="D86" s="2"/>
      <c r="E86" s="2"/>
      <c r="F86" s="2"/>
      <c r="G86" s="37" t="str">
        <f>IF(C86="","Chưa điền",IF(ABS(C86-PV(C85/12,C84,-C83))&lt;1,"Đạt","Xem lại"))</f>
        <v>Chưa điền</v>
      </c>
    </row>
    <row r="87" ht="15.0" customHeight="1">
      <c r="A87" s="2"/>
      <c r="B87" s="27" t="s">
        <v>237</v>
      </c>
      <c r="C87" s="59"/>
      <c r="D87" s="2"/>
      <c r="E87" s="2"/>
      <c r="F87" s="2"/>
      <c r="G87" s="37" t="str">
        <f>IF(C87="","Chưa điền",IF(C87=IF(PV(C85/12,C84,-C83)&lt;C82,"Thuê","Mua"),"Đạt","Xem lại"))</f>
        <v>Chưa điền</v>
      </c>
    </row>
    <row r="88" ht="31.5" customHeight="1">
      <c r="A88" s="2"/>
      <c r="B88" s="7" t="s">
        <v>239</v>
      </c>
      <c r="C88" s="58"/>
      <c r="D88" s="2"/>
      <c r="E88" s="2"/>
      <c r="F88" s="2"/>
      <c r="G88" s="37" t="str">
        <f>IF(C88="","Chưa điền",IF(ABS(C88-PV(0.08/12,C84,-C83))&lt;1,"Đạt","Xem lại"))</f>
        <v>Chưa điền</v>
      </c>
    </row>
    <row r="89" ht="15.0" customHeight="1">
      <c r="A89" s="2"/>
      <c r="B89" s="27" t="s">
        <v>240</v>
      </c>
      <c r="C89" s="59"/>
      <c r="D89" s="2"/>
      <c r="E89" s="2"/>
      <c r="F89" s="2"/>
      <c r="G89" s="37" t="str">
        <f>IF(C89="","Chưa điền",IF(C89=IF(PV(0.08/12,C84,-C83)&lt;C82,"Thuê","Mua"),"Đạt","Xem lại"))</f>
        <v>Chưa điền</v>
      </c>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mergeCells count="9">
    <mergeCell ref="C78:G78"/>
    <mergeCell ref="B81:G81"/>
    <mergeCell ref="A3:G3"/>
    <mergeCell ref="A19:G19"/>
    <mergeCell ref="A34:G34"/>
    <mergeCell ref="A55:G55"/>
    <mergeCell ref="C75:G75"/>
    <mergeCell ref="C76:G76"/>
    <mergeCell ref="C77:G77"/>
  </mergeCells>
  <dataValidations>
    <dataValidation type="list" allowBlank="1" sqref="C87 C89">
      <formula1>"Mua,Thuê"</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8.0"/>
    <col customWidth="1" min="2" max="2" width="22.0"/>
    <col customWidth="1" min="3" max="3" width="18.0"/>
    <col customWidth="1" min="4" max="4" width="60.0"/>
    <col customWidth="1" min="5" max="5" width="64.0"/>
    <col customWidth="1" min="6" max="6" width="8.71"/>
    <col customWidth="1" min="7" max="7" width="13.14"/>
    <col customWidth="1" min="8" max="8" width="9.71"/>
    <col customWidth="1" min="9" max="9" width="17.71"/>
    <col customWidth="1" min="10" max="10" width="35.71"/>
    <col customWidth="1" min="11" max="12" width="43.0"/>
    <col customWidth="1" min="13" max="26" width="8.71"/>
  </cols>
  <sheetData>
    <row r="1" ht="17.25" customHeight="1">
      <c r="A1" s="1" t="s">
        <v>26</v>
      </c>
      <c r="B1" s="2"/>
      <c r="C1" s="2"/>
      <c r="D1" s="2"/>
      <c r="E1" s="2"/>
    </row>
    <row r="2" ht="15.0" customHeight="1">
      <c r="A2" s="5" t="s">
        <v>39</v>
      </c>
      <c r="B2" s="2"/>
      <c r="C2" s="2"/>
      <c r="D2" s="2"/>
      <c r="E2" s="2"/>
    </row>
    <row r="3" ht="31.5" customHeight="1">
      <c r="A3" s="20" t="s">
        <v>46</v>
      </c>
    </row>
    <row r="4" ht="15.0" customHeight="1">
      <c r="A4" s="11" t="s">
        <v>64</v>
      </c>
      <c r="B4" s="11" t="s">
        <v>68</v>
      </c>
      <c r="C4" s="11" t="s">
        <v>69</v>
      </c>
      <c r="D4" s="11" t="s">
        <v>71</v>
      </c>
      <c r="E4" s="11" t="s">
        <v>73</v>
      </c>
    </row>
    <row r="5" ht="30.0" customHeight="1">
      <c r="A5" s="16" t="s">
        <v>76</v>
      </c>
      <c r="B5" s="21" t="s">
        <v>81</v>
      </c>
      <c r="C5" s="22"/>
      <c r="D5" s="23" t="s">
        <v>88</v>
      </c>
      <c r="E5" s="24" t="s">
        <v>92</v>
      </c>
    </row>
    <row r="6" ht="30.0" customHeight="1">
      <c r="A6" s="16" t="s">
        <v>95</v>
      </c>
      <c r="B6" s="26">
        <v>1.0</v>
      </c>
      <c r="C6" s="22" t="s">
        <v>100</v>
      </c>
      <c r="D6" s="23" t="s">
        <v>88</v>
      </c>
      <c r="E6" s="24" t="s">
        <v>101</v>
      </c>
      <c r="G6" s="28"/>
      <c r="H6" s="28"/>
    </row>
    <row r="7" ht="43.5" customHeight="1">
      <c r="A7" s="16" t="s">
        <v>102</v>
      </c>
      <c r="B7" s="26">
        <v>1200.0</v>
      </c>
      <c r="C7" s="22" t="s">
        <v>103</v>
      </c>
      <c r="D7" s="23" t="s">
        <v>104</v>
      </c>
      <c r="E7" s="24" t="s">
        <v>105</v>
      </c>
      <c r="G7" s="29"/>
      <c r="H7" s="29"/>
      <c r="I7" s="30"/>
      <c r="J7" s="30"/>
      <c r="K7" s="30"/>
      <c r="L7" s="30"/>
    </row>
    <row r="8" ht="15.75" customHeight="1">
      <c r="A8" s="16" t="s">
        <v>106</v>
      </c>
      <c r="B8" s="26">
        <v>400.0</v>
      </c>
      <c r="C8" s="22" t="s">
        <v>103</v>
      </c>
      <c r="D8" s="23" t="s">
        <v>88</v>
      </c>
      <c r="E8" s="24" t="s">
        <v>107</v>
      </c>
      <c r="G8" s="29"/>
      <c r="H8" s="29"/>
      <c r="I8" s="30"/>
      <c r="J8" s="30"/>
      <c r="K8" s="30"/>
      <c r="L8" s="30"/>
    </row>
    <row r="9" ht="43.5" customHeight="1">
      <c r="A9" s="16" t="s">
        <v>108</v>
      </c>
      <c r="B9" s="26">
        <v>0.1</v>
      </c>
      <c r="C9" s="22" t="s">
        <v>109</v>
      </c>
      <c r="D9" s="23" t="s">
        <v>110</v>
      </c>
      <c r="E9" s="24" t="s">
        <v>111</v>
      </c>
      <c r="G9" s="29"/>
      <c r="H9" s="29"/>
      <c r="I9" s="30"/>
      <c r="J9" s="30"/>
      <c r="K9" s="30"/>
      <c r="L9" s="30"/>
    </row>
    <row r="10" ht="30.0" customHeight="1">
      <c r="A10" s="16" t="s">
        <v>112</v>
      </c>
      <c r="B10" s="26">
        <v>0.5</v>
      </c>
      <c r="C10" s="22" t="s">
        <v>109</v>
      </c>
      <c r="D10" s="23" t="s">
        <v>110</v>
      </c>
      <c r="E10" s="24" t="s">
        <v>113</v>
      </c>
      <c r="G10" s="29"/>
      <c r="H10" s="29"/>
      <c r="I10" s="30"/>
      <c r="J10" s="30"/>
      <c r="K10" s="30"/>
      <c r="L10" s="30"/>
    </row>
    <row r="11" ht="30.0" customHeight="1">
      <c r="A11" s="16" t="s">
        <v>114</v>
      </c>
      <c r="B11" s="26">
        <v>26170.0</v>
      </c>
      <c r="C11" s="22" t="s">
        <v>115</v>
      </c>
      <c r="D11" s="23" t="s">
        <v>116</v>
      </c>
      <c r="E11" s="24" t="s">
        <v>117</v>
      </c>
      <c r="G11" s="29"/>
      <c r="H11" s="29"/>
      <c r="I11" s="30"/>
      <c r="J11" s="30"/>
      <c r="K11" s="30"/>
      <c r="L11" s="30"/>
    </row>
    <row r="12" ht="30.0" customHeight="1">
      <c r="A12" s="16" t="s">
        <v>118</v>
      </c>
      <c r="B12" s="32">
        <v>0.05</v>
      </c>
      <c r="C12" s="22" t="s">
        <v>119</v>
      </c>
      <c r="D12" s="23" t="s">
        <v>88</v>
      </c>
      <c r="E12" s="24" t="s">
        <v>120</v>
      </c>
      <c r="G12" s="29"/>
      <c r="H12" s="29"/>
      <c r="I12" s="30"/>
      <c r="J12" s="30"/>
      <c r="K12" s="30"/>
      <c r="L12" s="30"/>
    </row>
    <row r="13" ht="43.5" customHeight="1">
      <c r="A13" s="16" t="s">
        <v>121</v>
      </c>
      <c r="B13" s="26">
        <v>20.0</v>
      </c>
      <c r="C13" s="22" t="s">
        <v>122</v>
      </c>
      <c r="D13" s="23" t="s">
        <v>88</v>
      </c>
      <c r="E13" s="24" t="s">
        <v>123</v>
      </c>
      <c r="G13" s="29"/>
      <c r="H13" s="29"/>
      <c r="I13" s="30"/>
      <c r="J13" s="30"/>
      <c r="K13" s="30"/>
      <c r="L13" s="30"/>
    </row>
    <row r="14" ht="30.0" customHeight="1">
      <c r="A14" s="16" t="s">
        <v>124</v>
      </c>
      <c r="B14" s="32">
        <v>0.02</v>
      </c>
      <c r="C14" s="22" t="s">
        <v>119</v>
      </c>
      <c r="D14" s="23" t="s">
        <v>125</v>
      </c>
      <c r="E14" s="24" t="s">
        <v>126</v>
      </c>
      <c r="G14" s="29"/>
      <c r="H14" s="29"/>
      <c r="I14" s="30"/>
      <c r="J14" s="30"/>
      <c r="K14" s="30"/>
      <c r="L14" s="30"/>
    </row>
    <row r="15" ht="15.75" customHeight="1">
      <c r="A15" s="16" t="s">
        <v>127</v>
      </c>
      <c r="B15" s="26">
        <v>1.0</v>
      </c>
      <c r="C15" s="22" t="s">
        <v>128</v>
      </c>
      <c r="D15" s="23" t="s">
        <v>88</v>
      </c>
      <c r="E15" s="24" t="s">
        <v>129</v>
      </c>
      <c r="G15" s="29"/>
      <c r="H15" s="29"/>
      <c r="I15" s="30"/>
      <c r="J15" s="30"/>
      <c r="K15" s="30"/>
      <c r="L15" s="30"/>
    </row>
    <row r="16" ht="30.0" customHeight="1">
      <c r="A16" s="16" t="s">
        <v>130</v>
      </c>
      <c r="B16" s="26">
        <v>40000.0</v>
      </c>
      <c r="C16" s="22" t="s">
        <v>131</v>
      </c>
      <c r="D16" s="23" t="s">
        <v>88</v>
      </c>
      <c r="E16" s="24" t="s">
        <v>132</v>
      </c>
      <c r="G16" s="29"/>
      <c r="H16" s="29"/>
      <c r="I16" s="30"/>
      <c r="J16" s="30"/>
      <c r="K16" s="30"/>
      <c r="L16" s="30"/>
    </row>
    <row r="17" ht="30.0" customHeight="1">
      <c r="A17" s="16" t="s">
        <v>133</v>
      </c>
      <c r="B17" s="26">
        <v>5.0</v>
      </c>
      <c r="C17" s="22" t="s">
        <v>122</v>
      </c>
      <c r="D17" s="23" t="s">
        <v>88</v>
      </c>
      <c r="E17" s="24" t="s">
        <v>134</v>
      </c>
      <c r="G17" s="29"/>
      <c r="H17" s="29"/>
      <c r="I17" s="30"/>
      <c r="J17" s="30"/>
      <c r="K17" s="30"/>
      <c r="L17" s="30"/>
    </row>
    <row r="18" ht="15.75" customHeight="1">
      <c r="A18" s="16" t="s">
        <v>135</v>
      </c>
      <c r="B18" s="26">
        <v>5.0</v>
      </c>
      <c r="C18" s="22" t="s">
        <v>122</v>
      </c>
      <c r="D18" s="23" t="s">
        <v>88</v>
      </c>
      <c r="E18" s="24" t="s">
        <v>136</v>
      </c>
      <c r="G18" s="29"/>
      <c r="H18" s="29"/>
      <c r="I18" s="30"/>
      <c r="J18" s="30"/>
      <c r="K18" s="30"/>
      <c r="L18" s="30"/>
    </row>
    <row r="19">
      <c r="A19" s="2"/>
      <c r="B19" s="2"/>
      <c r="C19" s="2"/>
      <c r="D19" s="2"/>
      <c r="E19" s="2"/>
      <c r="G19" s="29"/>
      <c r="H19" s="29"/>
      <c r="I19" s="30"/>
      <c r="J19" s="30"/>
      <c r="K19" s="30"/>
      <c r="L19" s="30"/>
    </row>
    <row r="20" ht="15.0" customHeight="1">
      <c r="A20" s="8" t="s">
        <v>137</v>
      </c>
      <c r="B20" s="2"/>
      <c r="C20" s="2"/>
      <c r="D20" s="2"/>
      <c r="E20" s="2"/>
      <c r="G20" s="29"/>
      <c r="H20" s="29"/>
      <c r="I20" s="30"/>
      <c r="J20" s="30"/>
      <c r="K20" s="30"/>
      <c r="L20" s="30"/>
    </row>
    <row r="21" ht="15.0" customHeight="1">
      <c r="A21" s="27" t="s">
        <v>138</v>
      </c>
      <c r="B21" s="33">
        <f>IFERROR(B6*(B7*B9+B8*B10)/1000000*B11*(1+B12),0)</f>
        <v>8.79312</v>
      </c>
      <c r="C21" s="2"/>
      <c r="D21" s="2"/>
      <c r="E21" s="2"/>
      <c r="I21" s="30"/>
      <c r="J21" s="30"/>
      <c r="K21" s="30"/>
      <c r="L21" s="30"/>
    </row>
    <row r="22" ht="15.0" customHeight="1">
      <c r="A22" s="27" t="s">
        <v>141</v>
      </c>
      <c r="B22" s="33">
        <f>IFERROR(B14*B15/60*B16,0)</f>
        <v>13.33333333</v>
      </c>
      <c r="C22" s="2"/>
      <c r="D22" s="2"/>
      <c r="E22" s="2"/>
    </row>
    <row r="23" ht="15.0" customHeight="1">
      <c r="A23" s="27" t="s">
        <v>142</v>
      </c>
      <c r="B23" s="33">
        <f>B13+B17+B18</f>
        <v>30</v>
      </c>
      <c r="C23" s="2"/>
      <c r="D23" s="2"/>
      <c r="E23" s="2"/>
    </row>
    <row r="24" ht="15.75" customHeight="1">
      <c r="A24" s="27" t="s">
        <v>143</v>
      </c>
      <c r="B24" s="36">
        <f>B21+B22+B23</f>
        <v>52.12645333</v>
      </c>
      <c r="C24" s="2"/>
      <c r="D24" s="2"/>
      <c r="E24" s="9" t="s">
        <v>144</v>
      </c>
    </row>
    <row r="25" ht="15.0" customHeight="1">
      <c r="A25" s="27" t="s">
        <v>145</v>
      </c>
      <c r="B25" s="38">
        <f>IFERROR((B24-B21)/B21,0)</f>
        <v>4.928095299</v>
      </c>
      <c r="C25" s="40" t="s">
        <v>147</v>
      </c>
      <c r="D25" s="2"/>
      <c r="E25" s="2"/>
    </row>
    <row r="26" ht="15.0" customHeight="1">
      <c r="A26" s="27" t="s">
        <v>148</v>
      </c>
      <c r="B26" s="33">
        <f>3*B24</f>
        <v>156.37936</v>
      </c>
      <c r="C26" s="40" t="s">
        <v>150</v>
      </c>
      <c r="D26" s="2"/>
      <c r="E26" s="2"/>
    </row>
    <row r="27" ht="15.0" customHeight="1">
      <c r="A27" s="27" t="s">
        <v>151</v>
      </c>
      <c r="B27" s="33">
        <f>B24/(1-0.6)</f>
        <v>130.3161333</v>
      </c>
      <c r="C27" s="40" t="s">
        <v>152</v>
      </c>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mergeCells count="1">
    <mergeCell ref="A3:E3"/>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0"/>
    <col customWidth="1" min="2" max="3" width="30.0"/>
    <col customWidth="1" min="4" max="4" width="22.0"/>
    <col customWidth="1" min="5" max="5" width="20.0"/>
    <col customWidth="1" min="6" max="6" width="18.0"/>
    <col customWidth="1" min="7" max="7" width="22.0"/>
    <col customWidth="1" min="8" max="8" width="20.0"/>
    <col customWidth="1" min="9" max="9" width="46.0"/>
    <col customWidth="1" min="10" max="26" width="8.71"/>
  </cols>
  <sheetData>
    <row r="1" ht="17.25" customHeight="1">
      <c r="A1" s="1" t="s">
        <v>187</v>
      </c>
      <c r="B1" s="2"/>
      <c r="C1" s="2"/>
      <c r="D1" s="2"/>
      <c r="E1" s="2"/>
      <c r="F1" s="2"/>
      <c r="G1" s="2"/>
      <c r="H1" s="2"/>
      <c r="I1" s="2"/>
    </row>
    <row r="2" ht="15.0" customHeight="1">
      <c r="A2" s="5" t="s">
        <v>191</v>
      </c>
      <c r="B2" s="2"/>
      <c r="C2" s="2"/>
      <c r="D2" s="2"/>
      <c r="E2" s="2"/>
      <c r="F2" s="2"/>
      <c r="G2" s="2"/>
      <c r="H2" s="2"/>
      <c r="I2" s="2"/>
    </row>
    <row r="3">
      <c r="A3" s="2"/>
      <c r="B3" s="2"/>
      <c r="C3" s="2"/>
      <c r="D3" s="2"/>
      <c r="E3" s="2"/>
      <c r="F3" s="2"/>
      <c r="G3" s="2"/>
      <c r="H3" s="2"/>
      <c r="I3" s="2"/>
    </row>
    <row r="4" ht="15.0" customHeight="1">
      <c r="A4" s="11" t="s">
        <v>193</v>
      </c>
      <c r="B4" s="11" t="s">
        <v>68</v>
      </c>
      <c r="C4" s="11" t="s">
        <v>35</v>
      </c>
      <c r="D4" s="11" t="s">
        <v>71</v>
      </c>
      <c r="E4" s="2"/>
      <c r="F4" s="2"/>
      <c r="G4" s="2"/>
      <c r="H4" s="2"/>
      <c r="I4" s="2"/>
    </row>
    <row r="5" ht="48.0" customHeight="1">
      <c r="A5" s="7" t="s">
        <v>194</v>
      </c>
      <c r="B5" s="45" t="s">
        <v>195</v>
      </c>
      <c r="C5" s="46" t="s">
        <v>196</v>
      </c>
      <c r="D5" s="47" t="s">
        <v>88</v>
      </c>
      <c r="E5" s="2"/>
      <c r="F5" s="2"/>
      <c r="G5" s="2"/>
      <c r="H5" s="2"/>
      <c r="I5" s="2"/>
    </row>
    <row r="6" ht="63.0" customHeight="1">
      <c r="A6" s="7" t="s">
        <v>198</v>
      </c>
      <c r="B6" s="45" t="s">
        <v>200</v>
      </c>
      <c r="C6" s="46" t="s">
        <v>201</v>
      </c>
      <c r="D6" s="47" t="s">
        <v>88</v>
      </c>
      <c r="E6" s="2"/>
      <c r="F6" s="2"/>
      <c r="G6" s="2"/>
      <c r="H6" s="2"/>
      <c r="I6" s="2"/>
    </row>
    <row r="7" ht="48.0" customHeight="1">
      <c r="A7" s="7" t="s">
        <v>202</v>
      </c>
      <c r="B7" s="49"/>
      <c r="C7" s="2"/>
      <c r="D7" s="10"/>
      <c r="E7" s="2"/>
      <c r="F7" s="2"/>
      <c r="G7" s="2"/>
      <c r="H7" s="2"/>
      <c r="I7" s="2"/>
    </row>
    <row r="8" ht="48.0" customHeight="1">
      <c r="A8" s="7" t="s">
        <v>203</v>
      </c>
      <c r="B8" s="45" t="s">
        <v>204</v>
      </c>
      <c r="C8" s="46" t="s">
        <v>205</v>
      </c>
      <c r="D8" s="47" t="s">
        <v>88</v>
      </c>
      <c r="E8" s="2"/>
      <c r="F8" s="2"/>
      <c r="G8" s="2"/>
      <c r="H8" s="2"/>
      <c r="I8" s="2"/>
    </row>
    <row r="9" ht="15.0" customHeight="1">
      <c r="A9" s="27" t="s">
        <v>206</v>
      </c>
      <c r="B9" s="39">
        <v>99000.0</v>
      </c>
      <c r="C9" s="50" t="s">
        <v>122</v>
      </c>
      <c r="D9" s="47" t="s">
        <v>88</v>
      </c>
      <c r="E9" s="2"/>
      <c r="F9" s="2"/>
      <c r="G9" s="2"/>
      <c r="H9" s="2"/>
      <c r="I9" s="2"/>
    </row>
    <row r="10" ht="15.0" customHeight="1">
      <c r="A10" s="27" t="s">
        <v>208</v>
      </c>
      <c r="B10" s="39">
        <v>300.0</v>
      </c>
      <c r="C10" s="50" t="s">
        <v>209</v>
      </c>
      <c r="D10" s="47" t="s">
        <v>88</v>
      </c>
      <c r="E10" s="2"/>
      <c r="F10" s="2"/>
      <c r="G10" s="2"/>
      <c r="H10" s="2"/>
      <c r="I10" s="2"/>
    </row>
    <row r="11" ht="15.0" customHeight="1">
      <c r="A11" s="27" t="s">
        <v>210</v>
      </c>
      <c r="B11" s="39">
        <v>300.0</v>
      </c>
      <c r="C11" s="50" t="s">
        <v>211</v>
      </c>
      <c r="D11" s="47" t="s">
        <v>88</v>
      </c>
      <c r="E11" s="2"/>
      <c r="F11" s="2"/>
      <c r="G11" s="2"/>
      <c r="H11" s="2"/>
      <c r="I11" s="2"/>
    </row>
    <row r="12" ht="31.5" customHeight="1">
      <c r="A12" s="7" t="s">
        <v>212</v>
      </c>
      <c r="B12" s="39">
        <v>99000.0</v>
      </c>
      <c r="C12" s="50" t="s">
        <v>213</v>
      </c>
      <c r="D12" s="47" t="s">
        <v>88</v>
      </c>
      <c r="E12" s="2"/>
      <c r="F12" s="2"/>
      <c r="G12" s="2"/>
      <c r="H12" s="2"/>
      <c r="I12" s="2"/>
    </row>
    <row r="13">
      <c r="A13" s="2"/>
      <c r="B13" s="2"/>
      <c r="C13" s="2"/>
      <c r="D13" s="2"/>
      <c r="E13" s="2"/>
      <c r="F13" s="2"/>
      <c r="G13" s="2"/>
      <c r="H13" s="2"/>
      <c r="I13" s="2"/>
    </row>
    <row r="14" ht="46.5" customHeight="1">
      <c r="A14" s="11" t="s">
        <v>214</v>
      </c>
      <c r="B14" s="51" t="s">
        <v>215</v>
      </c>
      <c r="C14" s="51" t="s">
        <v>216</v>
      </c>
      <c r="D14" s="11" t="s">
        <v>217</v>
      </c>
      <c r="E14" s="51" t="s">
        <v>218</v>
      </c>
      <c r="F14" s="11" t="s">
        <v>219</v>
      </c>
      <c r="G14" s="11" t="s">
        <v>220</v>
      </c>
      <c r="H14" s="11" t="s">
        <v>221</v>
      </c>
      <c r="I14" s="11" t="s">
        <v>71</v>
      </c>
    </row>
    <row r="15" ht="15.0" customHeight="1">
      <c r="A15" s="27" t="s">
        <v>222</v>
      </c>
      <c r="B15" s="52">
        <v>0.85</v>
      </c>
      <c r="C15" s="53">
        <v>120.0</v>
      </c>
      <c r="D15" s="33">
        <f>B9+MAX(0,C15-B10)*B11</f>
        <v>99000</v>
      </c>
      <c r="E15" s="33">
        <f>C15*'1_Chi phí mỗi việc'!B24</f>
        <v>6255.1744</v>
      </c>
      <c r="F15" s="38">
        <f t="shared" ref="F15:F17" si="1">IFERROR((D15-E15)/D15,0)</f>
        <v>0.9368164202</v>
      </c>
      <c r="G15" s="33">
        <f>B12</f>
        <v>99000</v>
      </c>
      <c r="H15" s="38">
        <f t="shared" ref="H15:H17" si="2">IFERROR((G15-E15)/G15,0)</f>
        <v>0.9368164202</v>
      </c>
      <c r="I15" s="47" t="s">
        <v>88</v>
      </c>
    </row>
    <row r="16" ht="15.0" customHeight="1">
      <c r="A16" s="27" t="s">
        <v>236</v>
      </c>
      <c r="B16" s="52">
        <v>0.15</v>
      </c>
      <c r="C16" s="53">
        <v>1200.0</v>
      </c>
      <c r="D16" s="33">
        <f>B9+MAX(0,C16-B10)*B11</f>
        <v>369000</v>
      </c>
      <c r="E16" s="33">
        <f>C16*'1_Chi phí mỗi việc'!B24</f>
        <v>62551.744</v>
      </c>
      <c r="F16" s="38">
        <f t="shared" si="1"/>
        <v>0.8304830786</v>
      </c>
      <c r="G16" s="33">
        <f>B12</f>
        <v>99000</v>
      </c>
      <c r="H16" s="38">
        <f t="shared" si="2"/>
        <v>0.368164202</v>
      </c>
      <c r="I16" s="47" t="s">
        <v>88</v>
      </c>
    </row>
    <row r="17" ht="15.0" customHeight="1">
      <c r="A17" s="8" t="s">
        <v>238</v>
      </c>
      <c r="B17" s="38">
        <f>B15+B16</f>
        <v>1</v>
      </c>
      <c r="C17" s="60">
        <f>SUMPRODUCT(B15:B16,C15:C16)</f>
        <v>282</v>
      </c>
      <c r="D17" s="36">
        <f t="shared" ref="D17:E17" si="3">SUMPRODUCT($B15:$B16,D15:D16)</f>
        <v>139500</v>
      </c>
      <c r="E17" s="36">
        <f t="shared" si="3"/>
        <v>14699.65984</v>
      </c>
      <c r="F17" s="61">
        <f t="shared" si="1"/>
        <v>0.8946260943</v>
      </c>
      <c r="G17" s="36">
        <f>SUMPRODUCT($B15:$B16,G15:G16)</f>
        <v>99000</v>
      </c>
      <c r="H17" s="61">
        <f t="shared" si="2"/>
        <v>0.8515185875</v>
      </c>
      <c r="I17" s="2"/>
    </row>
    <row r="18" ht="15.0" customHeight="1">
      <c r="A18" s="2" t="s">
        <v>241</v>
      </c>
      <c r="B18" s="37" t="str">
        <f>IF(B17=0,"Chưa điền",IF(ABS(B17-1)&lt;0.001,"Đạt","Sai: tổng khác 100%"))</f>
        <v>Đạt</v>
      </c>
      <c r="C18" s="2"/>
      <c r="D18" s="2"/>
      <c r="E18" s="2"/>
      <c r="F18" s="2"/>
      <c r="G18" s="2"/>
      <c r="H18" s="2"/>
      <c r="I18" s="2"/>
    </row>
    <row r="19" ht="15.0" customHeight="1">
      <c r="A19" s="2" t="s">
        <v>242</v>
      </c>
      <c r="B19" s="37" t="str">
        <f>IF(B11=0,"Chưa điền",IF(B11&gt;='1_Chi phí mỗi việc'!B26,"Đạt","Thấp hơn giá sàn"))</f>
        <v>Đạt</v>
      </c>
      <c r="C19" s="2"/>
      <c r="D19" s="2"/>
      <c r="E19" s="2"/>
      <c r="F19" s="2"/>
      <c r="G19" s="2"/>
      <c r="H19" s="2"/>
      <c r="I19" s="2"/>
    </row>
    <row r="20">
      <c r="A20" s="2"/>
      <c r="B20" s="2"/>
      <c r="C20" s="2"/>
      <c r="D20" s="2"/>
      <c r="E20" s="2"/>
      <c r="F20" s="2"/>
      <c r="G20" s="2"/>
      <c r="H20" s="2"/>
      <c r="I20" s="2"/>
    </row>
    <row r="21" ht="15.0" customHeight="1">
      <c r="A21" s="2" t="s">
        <v>243</v>
      </c>
      <c r="B21" s="61">
        <f>IFERROR(B16*D16/D17,0)</f>
        <v>0.3967741935</v>
      </c>
      <c r="C21" s="2"/>
      <c r="D21" s="2"/>
      <c r="E21" s="2"/>
      <c r="F21" s="2"/>
      <c r="G21" s="2"/>
      <c r="H21" s="2"/>
      <c r="I21" s="2"/>
    </row>
    <row r="22" ht="15.0" customHeight="1">
      <c r="A22" s="2" t="s">
        <v>244</v>
      </c>
      <c r="B22" s="61">
        <f>IFERROR(B16*MAX(0,C16-B10)*B11/D17,0)</f>
        <v>0.2903225806</v>
      </c>
      <c r="C22" s="2"/>
      <c r="D22" s="2"/>
      <c r="E22" s="2"/>
      <c r="F22" s="2"/>
      <c r="G22" s="2"/>
      <c r="H22" s="2"/>
      <c r="I22" s="2"/>
    </row>
    <row r="23" ht="15.0" customHeight="1">
      <c r="A23" s="2" t="s">
        <v>245</v>
      </c>
      <c r="B23" s="37" t="str">
        <f>IF(D17=0,"Chưa điền",IF(B21&gt;0.5,"Trên 50% doanh thu đến từ khách dùng nhiều: xem tình huống đặc biệt ở trang 5","Đạt"))</f>
        <v>Đạt</v>
      </c>
      <c r="C23" s="2"/>
      <c r="D23" s="2"/>
      <c r="E23" s="2"/>
      <c r="F23" s="2"/>
      <c r="G23" s="2"/>
      <c r="H23" s="2"/>
      <c r="I23" s="2"/>
    </row>
    <row r="24" ht="15.75" customHeight="1">
      <c r="A24" s="2"/>
      <c r="B24" s="2"/>
      <c r="C24" s="2"/>
      <c r="D24" s="2"/>
      <c r="E24" s="2"/>
      <c r="F24" s="2"/>
      <c r="G24" s="2"/>
      <c r="H24" s="2"/>
      <c r="I24" s="2"/>
    </row>
    <row r="25" ht="15.0" customHeight="1">
      <c r="A25" s="8" t="s">
        <v>246</v>
      </c>
      <c r="B25" s="2"/>
      <c r="C25" s="2"/>
      <c r="D25" s="2"/>
      <c r="E25" s="2"/>
      <c r="F25" s="2"/>
      <c r="G25" s="2"/>
      <c r="H25" s="2"/>
      <c r="I25" s="2"/>
    </row>
    <row r="26" ht="15.0" customHeight="1">
      <c r="A26" s="27" t="s">
        <v>247</v>
      </c>
      <c r="B26" s="39">
        <v>3000000.0</v>
      </c>
      <c r="C26" s="62" t="s">
        <v>213</v>
      </c>
      <c r="D26" s="63" t="s">
        <v>88</v>
      </c>
      <c r="E26" s="2"/>
      <c r="F26" s="2"/>
      <c r="G26" s="2"/>
      <c r="H26" s="2"/>
      <c r="I26" s="2"/>
    </row>
    <row r="27" ht="15.0" customHeight="1">
      <c r="A27" s="27" t="s">
        <v>248</v>
      </c>
      <c r="B27" s="64">
        <v>0.0</v>
      </c>
      <c r="C27" s="62" t="s">
        <v>249</v>
      </c>
      <c r="D27" s="63" t="s">
        <v>250</v>
      </c>
      <c r="E27" s="2"/>
      <c r="F27" s="2"/>
      <c r="G27" s="2"/>
      <c r="H27" s="2"/>
      <c r="I27" s="2"/>
    </row>
    <row r="28" ht="45.0" customHeight="1">
      <c r="A28" s="11" t="s">
        <v>214</v>
      </c>
      <c r="B28" s="11" t="s">
        <v>251</v>
      </c>
      <c r="C28" s="11" t="s">
        <v>252</v>
      </c>
      <c r="D28" s="11" t="s">
        <v>253</v>
      </c>
      <c r="E28" s="11" t="s">
        <v>254</v>
      </c>
      <c r="F28" s="11" t="s">
        <v>255</v>
      </c>
      <c r="G28" s="2"/>
      <c r="H28" s="2"/>
      <c r="I28" s="2"/>
    </row>
    <row r="29" ht="30.0" customHeight="1">
      <c r="A29" s="27" t="s">
        <v>222</v>
      </c>
      <c r="B29" s="33">
        <f t="shared" ref="B29:B30" si="4">D15</f>
        <v>99000</v>
      </c>
      <c r="C29" s="41">
        <f t="shared" ref="C29:C31" si="5">IFERROR(B29/$B$26,"")</f>
        <v>0.033</v>
      </c>
      <c r="D29" s="65" t="str">
        <f t="shared" ref="D29:D31" si="6">IF(C29="","",IF(C29&lt;0.5,"Dưới 50%: còn dư địa",IF(C29&lt;=0.7,"Trong vùng 50–70%","Trên 70%: khách thà thuê người? Xem dòng 34")))</f>
        <v>Dưới 50%: còn dư địa</v>
      </c>
      <c r="E29" s="66">
        <f t="shared" ref="E29:E30" si="7">IFERROR(E15/B29,"")</f>
        <v>0.0631835798</v>
      </c>
      <c r="F29" s="37" t="str">
        <f t="shared" ref="F29:F31" si="8">IF(E29="","",IF(E29&lt;0.3,"Ổn (dưới 0,3)",IF(E29&lt;=0.6,"Đáng lo (0,3–0,6)","Nguy (trên 0,6)")))</f>
        <v>Ổn (dưới 0,3)</v>
      </c>
      <c r="G29" s="2"/>
      <c r="H29" s="2"/>
      <c r="I29" s="2"/>
    </row>
    <row r="30" ht="30.0" customHeight="1">
      <c r="A30" s="27" t="s">
        <v>256</v>
      </c>
      <c r="B30" s="33">
        <f t="shared" si="4"/>
        <v>369000</v>
      </c>
      <c r="C30" s="41">
        <f t="shared" si="5"/>
        <v>0.123</v>
      </c>
      <c r="D30" s="65" t="str">
        <f t="shared" si="6"/>
        <v>Dưới 50%: còn dư địa</v>
      </c>
      <c r="E30" s="66">
        <f t="shared" si="7"/>
        <v>0.1695169214</v>
      </c>
      <c r="F30" s="37" t="str">
        <f t="shared" si="8"/>
        <v>Ổn (dưới 0,3)</v>
      </c>
      <c r="G30" s="2"/>
      <c r="H30" s="2"/>
      <c r="I30" s="2"/>
    </row>
    <row r="31" ht="30.0" customHeight="1">
      <c r="A31" s="27" t="s">
        <v>257</v>
      </c>
      <c r="B31" s="33">
        <f>G16</f>
        <v>99000</v>
      </c>
      <c r="C31" s="41">
        <f t="shared" si="5"/>
        <v>0.033</v>
      </c>
      <c r="D31" s="65" t="str">
        <f t="shared" si="6"/>
        <v>Dưới 50%: còn dư địa</v>
      </c>
      <c r="E31" s="66">
        <f>IFERROR(E16/B31,"")</f>
        <v>0.631835798</v>
      </c>
      <c r="F31" s="37" t="str">
        <f t="shared" si="8"/>
        <v>Nguy (trên 0,6)</v>
      </c>
      <c r="G31" s="2"/>
      <c r="H31" s="2"/>
      <c r="I31" s="2"/>
    </row>
    <row r="32" ht="15.0" customHeight="1">
      <c r="A32" s="34" t="s">
        <v>258</v>
      </c>
      <c r="B32" s="67">
        <f>IFERROR((D17*(1-B27)-E17)/D17,"")</f>
        <v>0.8946260943</v>
      </c>
      <c r="C32" s="37" t="str">
        <f>IF(B32="","",IF(B32&gt;0.5,"Ổn",IF(B32&gt;=0.35,"Đáng lo","Nguy")))</f>
        <v>Ổn</v>
      </c>
      <c r="D32" s="40" t="s">
        <v>273</v>
      </c>
      <c r="E32" s="2"/>
      <c r="F32" s="2"/>
      <c r="G32" s="2"/>
      <c r="H32" s="2"/>
      <c r="I32" s="2"/>
    </row>
    <row r="33" ht="30.0" customHeight="1">
      <c r="A33" s="9" t="s">
        <v>274</v>
      </c>
    </row>
    <row r="34" ht="30.0" customHeight="1">
      <c r="A34" s="9" t="s">
        <v>275</v>
      </c>
    </row>
    <row r="35" ht="15.0" customHeight="1">
      <c r="A35" s="8" t="s">
        <v>276</v>
      </c>
      <c r="B35" s="2"/>
      <c r="C35" s="2"/>
      <c r="D35" s="2"/>
      <c r="E35" s="2"/>
      <c r="F35" s="2"/>
      <c r="G35" s="2"/>
      <c r="H35" s="2"/>
      <c r="I35" s="2"/>
    </row>
    <row r="36" ht="15.0" customHeight="1">
      <c r="A36" s="27" t="s">
        <v>277</v>
      </c>
      <c r="B36" s="9" t="s">
        <v>278</v>
      </c>
    </row>
    <row r="37" ht="30.0" customHeight="1">
      <c r="A37" s="27" t="s">
        <v>279</v>
      </c>
      <c r="B37" s="9" t="s">
        <v>280</v>
      </c>
    </row>
    <row r="38" ht="15.0" customHeight="1">
      <c r="A38" s="27" t="s">
        <v>281</v>
      </c>
      <c r="B38" s="9" t="s">
        <v>282</v>
      </c>
    </row>
    <row r="39" ht="15.0" customHeight="1">
      <c r="A39" s="27" t="s">
        <v>283</v>
      </c>
      <c r="B39" s="9" t="s">
        <v>285</v>
      </c>
    </row>
    <row r="40" ht="15.0" customHeight="1">
      <c r="A40" s="27" t="s">
        <v>286</v>
      </c>
      <c r="B40" s="9" t="s">
        <v>287</v>
      </c>
    </row>
    <row r="41" ht="15.75" customHeight="1">
      <c r="A41" s="2"/>
      <c r="B41" s="2"/>
      <c r="C41" s="2"/>
      <c r="D41" s="2"/>
      <c r="E41" s="2"/>
      <c r="F41" s="2"/>
      <c r="G41" s="2"/>
      <c r="H41" s="2"/>
      <c r="I41" s="2"/>
    </row>
    <row r="42" ht="15.75" customHeight="1">
      <c r="A42" s="2"/>
      <c r="B42" s="2"/>
      <c r="C42" s="2"/>
      <c r="D42" s="2"/>
      <c r="E42" s="2"/>
      <c r="F42" s="2"/>
      <c r="G42" s="2"/>
      <c r="H42" s="2"/>
      <c r="I42" s="2"/>
    </row>
    <row r="43" ht="15.75" customHeight="1">
      <c r="A43" s="2"/>
      <c r="B43" s="2"/>
      <c r="C43" s="2"/>
      <c r="D43" s="2"/>
      <c r="E43" s="2"/>
      <c r="F43" s="2"/>
      <c r="G43" s="2"/>
      <c r="H43" s="2"/>
      <c r="I43" s="2"/>
    </row>
    <row r="44" ht="15.75" customHeight="1">
      <c r="A44" s="2"/>
      <c r="B44" s="2"/>
      <c r="C44" s="2"/>
      <c r="D44" s="2"/>
      <c r="E44" s="2"/>
      <c r="F44" s="2"/>
      <c r="G44" s="2"/>
      <c r="H44" s="2"/>
      <c r="I44" s="2"/>
    </row>
    <row r="45" ht="15.75" customHeight="1">
      <c r="A45" s="2"/>
      <c r="B45" s="2"/>
      <c r="C45" s="2"/>
      <c r="D45" s="2"/>
      <c r="E45" s="2"/>
      <c r="F45" s="2"/>
      <c r="G45" s="2"/>
      <c r="H45" s="2"/>
      <c r="I45" s="2"/>
    </row>
    <row r="46" ht="15.75" customHeight="1">
      <c r="A46" s="2"/>
      <c r="B46" s="2"/>
      <c r="C46" s="2"/>
      <c r="D46" s="2"/>
      <c r="E46" s="2"/>
      <c r="F46" s="2"/>
      <c r="G46" s="2"/>
      <c r="H46" s="2"/>
      <c r="I46" s="2"/>
    </row>
    <row r="47" ht="15.75" customHeight="1">
      <c r="A47" s="2"/>
      <c r="B47" s="2"/>
      <c r="C47" s="2"/>
      <c r="D47" s="2"/>
      <c r="E47" s="2"/>
      <c r="F47" s="2"/>
      <c r="G47" s="2"/>
      <c r="H47" s="2"/>
      <c r="I47" s="2"/>
    </row>
    <row r="48" ht="15.75" customHeight="1">
      <c r="A48" s="2"/>
      <c r="B48" s="2"/>
      <c r="C48" s="2"/>
      <c r="D48" s="2"/>
      <c r="E48" s="2"/>
      <c r="F48" s="2"/>
      <c r="G48" s="2"/>
      <c r="H48" s="2"/>
      <c r="I48" s="2"/>
    </row>
    <row r="49" ht="15.75" customHeight="1">
      <c r="A49" s="2"/>
      <c r="B49" s="2"/>
      <c r="C49" s="2"/>
      <c r="D49" s="2"/>
      <c r="E49" s="2"/>
      <c r="F49" s="2"/>
      <c r="G49" s="2"/>
      <c r="H49" s="2"/>
      <c r="I49" s="2"/>
    </row>
    <row r="50" ht="15.75" customHeight="1">
      <c r="A50" s="2"/>
      <c r="B50" s="2"/>
      <c r="C50" s="2"/>
      <c r="D50" s="2"/>
      <c r="E50" s="2"/>
      <c r="F50" s="2"/>
      <c r="G50" s="2"/>
      <c r="H50" s="2"/>
      <c r="I50" s="2"/>
    </row>
    <row r="51" ht="15.75" customHeight="1">
      <c r="A51" s="2"/>
      <c r="B51" s="2"/>
      <c r="C51" s="2"/>
      <c r="D51" s="2"/>
      <c r="E51" s="2"/>
      <c r="F51" s="2"/>
      <c r="G51" s="2"/>
      <c r="H51" s="2"/>
      <c r="I51" s="2"/>
    </row>
    <row r="52" ht="15.75" customHeight="1">
      <c r="A52" s="2"/>
      <c r="B52" s="2"/>
      <c r="C52" s="2"/>
      <c r="D52" s="2"/>
      <c r="E52" s="2"/>
      <c r="F52" s="2"/>
      <c r="G52" s="2"/>
      <c r="H52" s="2"/>
      <c r="I52" s="2"/>
    </row>
    <row r="53" ht="15.75" customHeight="1">
      <c r="A53" s="2"/>
      <c r="B53" s="2"/>
      <c r="C53" s="2"/>
      <c r="D53" s="2"/>
      <c r="E53" s="2"/>
      <c r="F53" s="2"/>
      <c r="G53" s="2"/>
      <c r="H53" s="2"/>
      <c r="I53" s="2"/>
    </row>
    <row r="54" ht="15.75" customHeight="1">
      <c r="A54" s="2"/>
      <c r="B54" s="2"/>
      <c r="C54" s="2"/>
      <c r="D54" s="2"/>
      <c r="E54" s="2"/>
      <c r="F54" s="2"/>
      <c r="G54" s="2"/>
      <c r="H54" s="2"/>
      <c r="I54" s="2"/>
    </row>
    <row r="55" ht="15.75" customHeight="1">
      <c r="A55" s="2"/>
      <c r="B55" s="2"/>
      <c r="C55" s="2"/>
      <c r="D55" s="2"/>
      <c r="E55" s="2"/>
      <c r="F55" s="2"/>
      <c r="G55" s="2"/>
      <c r="H55" s="2"/>
      <c r="I55" s="2"/>
    </row>
    <row r="56" ht="15.75" customHeight="1">
      <c r="A56" s="2"/>
      <c r="B56" s="2"/>
      <c r="C56" s="2"/>
      <c r="D56" s="2"/>
      <c r="E56" s="2"/>
      <c r="F56" s="2"/>
      <c r="G56" s="2"/>
      <c r="H56" s="2"/>
      <c r="I56" s="2"/>
    </row>
    <row r="57" ht="15.75" customHeight="1">
      <c r="A57" s="2"/>
      <c r="B57" s="2"/>
      <c r="C57" s="2"/>
      <c r="D57" s="2"/>
      <c r="E57" s="2"/>
      <c r="F57" s="2"/>
      <c r="G57" s="2"/>
      <c r="H57" s="2"/>
      <c r="I57" s="2"/>
    </row>
    <row r="58" ht="15.75" customHeight="1">
      <c r="A58" s="2"/>
      <c r="B58" s="2"/>
      <c r="C58" s="2"/>
      <c r="D58" s="2"/>
      <c r="E58" s="2"/>
      <c r="F58" s="2"/>
      <c r="G58" s="2"/>
      <c r="H58" s="2"/>
      <c r="I58" s="2"/>
    </row>
    <row r="59" ht="15.75" customHeight="1">
      <c r="A59" s="2"/>
      <c r="B59" s="2"/>
      <c r="C59" s="2"/>
      <c r="D59" s="2"/>
      <c r="E59" s="2"/>
      <c r="F59" s="2"/>
      <c r="G59" s="2"/>
      <c r="H59" s="2"/>
      <c r="I59" s="2"/>
    </row>
    <row r="60" ht="15.75" customHeight="1">
      <c r="A60" s="2"/>
      <c r="B60" s="2"/>
      <c r="C60" s="2"/>
      <c r="D60" s="2"/>
      <c r="E60" s="2"/>
      <c r="F60" s="2"/>
      <c r="G60" s="2"/>
      <c r="H60" s="2"/>
      <c r="I60" s="2"/>
    </row>
    <row r="61" ht="15.75" customHeight="1">
      <c r="A61" s="2"/>
      <c r="B61" s="2"/>
      <c r="C61" s="2"/>
      <c r="D61" s="2"/>
      <c r="E61" s="2"/>
      <c r="F61" s="2"/>
      <c r="G61" s="2"/>
      <c r="H61" s="2"/>
      <c r="I61" s="2"/>
    </row>
    <row r="62" ht="15.75" customHeight="1">
      <c r="A62" s="2"/>
      <c r="B62" s="2"/>
      <c r="C62" s="2"/>
      <c r="D62" s="2"/>
      <c r="E62" s="2"/>
      <c r="F62" s="2"/>
      <c r="G62" s="2"/>
      <c r="H62" s="2"/>
      <c r="I62" s="2"/>
    </row>
    <row r="63" ht="15.75" customHeight="1">
      <c r="A63" s="2"/>
      <c r="B63" s="2"/>
      <c r="C63" s="2"/>
      <c r="D63" s="2"/>
      <c r="E63" s="2"/>
      <c r="F63" s="2"/>
      <c r="G63" s="2"/>
      <c r="H63" s="2"/>
      <c r="I63" s="2"/>
    </row>
    <row r="64" ht="15.75" customHeight="1">
      <c r="A64" s="2"/>
      <c r="B64" s="2"/>
      <c r="C64" s="2"/>
      <c r="D64" s="2"/>
      <c r="E64" s="2"/>
      <c r="F64" s="2"/>
      <c r="G64" s="2"/>
      <c r="H64" s="2"/>
      <c r="I64" s="2"/>
    </row>
    <row r="65" ht="15.75" customHeight="1">
      <c r="A65" s="2"/>
      <c r="B65" s="2"/>
      <c r="C65" s="2"/>
      <c r="D65" s="2"/>
      <c r="E65" s="2"/>
      <c r="F65" s="2"/>
      <c r="G65" s="2"/>
      <c r="H65" s="2"/>
      <c r="I65" s="2"/>
    </row>
    <row r="66" ht="15.75" customHeight="1">
      <c r="A66" s="2"/>
      <c r="B66" s="2"/>
      <c r="C66" s="2"/>
      <c r="D66" s="2"/>
      <c r="E66" s="2"/>
      <c r="F66" s="2"/>
      <c r="G66" s="2"/>
      <c r="H66" s="2"/>
      <c r="I66" s="2"/>
    </row>
    <row r="67" ht="15.75" customHeight="1">
      <c r="A67" s="2"/>
      <c r="B67" s="2"/>
      <c r="C67" s="2"/>
      <c r="D67" s="2"/>
      <c r="E67" s="2"/>
      <c r="F67" s="2"/>
      <c r="G67" s="2"/>
      <c r="H67" s="2"/>
      <c r="I67" s="2"/>
    </row>
    <row r="68" ht="15.75" customHeight="1">
      <c r="A68" s="2"/>
      <c r="B68" s="2"/>
      <c r="C68" s="2"/>
      <c r="D68" s="2"/>
      <c r="E68" s="2"/>
      <c r="F68" s="2"/>
      <c r="G68" s="2"/>
      <c r="H68" s="2"/>
      <c r="I68" s="2"/>
    </row>
    <row r="69" ht="15.75" customHeight="1">
      <c r="A69" s="2"/>
      <c r="B69" s="2"/>
      <c r="C69" s="2"/>
      <c r="D69" s="2"/>
      <c r="E69" s="2"/>
      <c r="F69" s="2"/>
      <c r="G69" s="2"/>
      <c r="H69" s="2"/>
      <c r="I69" s="2"/>
    </row>
    <row r="70" ht="15.75" customHeight="1">
      <c r="A70" s="2"/>
      <c r="B70" s="2"/>
      <c r="C70" s="2"/>
      <c r="D70" s="2"/>
      <c r="E70" s="2"/>
      <c r="F70" s="2"/>
      <c r="G70" s="2"/>
      <c r="H70" s="2"/>
      <c r="I70" s="2"/>
    </row>
    <row r="71" ht="15.75" customHeight="1">
      <c r="A71" s="2"/>
      <c r="B71" s="2"/>
      <c r="C71" s="2"/>
      <c r="D71" s="2"/>
      <c r="E71" s="2"/>
      <c r="F71" s="2"/>
      <c r="G71" s="2"/>
      <c r="H71" s="2"/>
      <c r="I71" s="2"/>
    </row>
    <row r="72" ht="15.75" customHeight="1">
      <c r="A72" s="2"/>
      <c r="B72" s="2"/>
      <c r="C72" s="2"/>
      <c r="D72" s="2"/>
      <c r="E72" s="2"/>
      <c r="F72" s="2"/>
      <c r="G72" s="2"/>
      <c r="H72" s="2"/>
      <c r="I72" s="2"/>
    </row>
    <row r="73" ht="15.75" customHeight="1">
      <c r="A73" s="2"/>
      <c r="B73" s="2"/>
      <c r="C73" s="2"/>
      <c r="D73" s="2"/>
      <c r="E73" s="2"/>
      <c r="F73" s="2"/>
      <c r="G73" s="2"/>
      <c r="H73" s="2"/>
      <c r="I73" s="2"/>
    </row>
    <row r="74" ht="15.75" customHeight="1">
      <c r="A74" s="2"/>
      <c r="B74" s="2"/>
      <c r="C74" s="2"/>
      <c r="D74" s="2"/>
      <c r="E74" s="2"/>
      <c r="F74" s="2"/>
      <c r="G74" s="2"/>
      <c r="H74" s="2"/>
      <c r="I74" s="2"/>
    </row>
    <row r="75" ht="15.75" customHeight="1">
      <c r="A75" s="2"/>
      <c r="B75" s="2"/>
      <c r="C75" s="2"/>
      <c r="D75" s="2"/>
      <c r="E75" s="2"/>
      <c r="F75" s="2"/>
      <c r="G75" s="2"/>
      <c r="H75" s="2"/>
      <c r="I75" s="2"/>
    </row>
    <row r="76" ht="15.75" customHeight="1">
      <c r="A76" s="2"/>
      <c r="B76" s="2"/>
      <c r="C76" s="2"/>
      <c r="D76" s="2"/>
      <c r="E76" s="2"/>
      <c r="F76" s="2"/>
      <c r="G76" s="2"/>
      <c r="H76" s="2"/>
      <c r="I76" s="2"/>
    </row>
    <row r="77" ht="15.75" customHeight="1">
      <c r="A77" s="2"/>
      <c r="B77" s="2"/>
      <c r="C77" s="2"/>
      <c r="D77" s="2"/>
      <c r="E77" s="2"/>
      <c r="F77" s="2"/>
      <c r="G77" s="2"/>
      <c r="H77" s="2"/>
      <c r="I77" s="2"/>
    </row>
    <row r="78" ht="15.75" customHeight="1">
      <c r="A78" s="2"/>
      <c r="B78" s="2"/>
      <c r="C78" s="2"/>
      <c r="D78" s="2"/>
      <c r="E78" s="2"/>
      <c r="F78" s="2"/>
      <c r="G78" s="2"/>
      <c r="H78" s="2"/>
      <c r="I78" s="2"/>
    </row>
    <row r="79" ht="15.75" customHeight="1">
      <c r="A79" s="2"/>
      <c r="B79" s="2"/>
      <c r="C79" s="2"/>
      <c r="D79" s="2"/>
      <c r="E79" s="2"/>
      <c r="F79" s="2"/>
      <c r="G79" s="2"/>
      <c r="H79" s="2"/>
      <c r="I79" s="2"/>
    </row>
    <row r="80" ht="15.75" customHeight="1">
      <c r="A80" s="2"/>
      <c r="B80" s="2"/>
      <c r="C80" s="2"/>
      <c r="D80" s="2"/>
      <c r="E80" s="2"/>
      <c r="F80" s="2"/>
      <c r="G80" s="2"/>
      <c r="H80" s="2"/>
      <c r="I80" s="2"/>
    </row>
    <row r="81" ht="15.75" customHeight="1">
      <c r="A81" s="2"/>
      <c r="B81" s="2"/>
      <c r="C81" s="2"/>
      <c r="D81" s="2"/>
      <c r="E81" s="2"/>
      <c r="F81" s="2"/>
      <c r="G81" s="2"/>
      <c r="H81" s="2"/>
      <c r="I81" s="2"/>
    </row>
    <row r="82" ht="15.75" customHeight="1">
      <c r="A82" s="2"/>
      <c r="B82" s="2"/>
      <c r="C82" s="2"/>
      <c r="D82" s="2"/>
      <c r="E82" s="2"/>
      <c r="F82" s="2"/>
      <c r="G82" s="2"/>
      <c r="H82" s="2"/>
      <c r="I82" s="2"/>
    </row>
    <row r="83" ht="15.75" customHeight="1">
      <c r="A83" s="2"/>
      <c r="B83" s="2"/>
      <c r="C83" s="2"/>
      <c r="D83" s="2"/>
      <c r="E83" s="2"/>
      <c r="F83" s="2"/>
      <c r="G83" s="2"/>
      <c r="H83" s="2"/>
      <c r="I83" s="2"/>
    </row>
    <row r="84" ht="15.75" customHeight="1">
      <c r="A84" s="2"/>
      <c r="B84" s="2"/>
      <c r="C84" s="2"/>
      <c r="D84" s="2"/>
      <c r="E84" s="2"/>
      <c r="F84" s="2"/>
      <c r="G84" s="2"/>
      <c r="H84" s="2"/>
      <c r="I84" s="2"/>
    </row>
    <row r="85" ht="15.75" customHeight="1">
      <c r="A85" s="2"/>
      <c r="B85" s="2"/>
      <c r="C85" s="2"/>
      <c r="D85" s="2"/>
      <c r="E85" s="2"/>
      <c r="F85" s="2"/>
      <c r="G85" s="2"/>
      <c r="H85" s="2"/>
      <c r="I85" s="2"/>
    </row>
    <row r="86" ht="15.75" customHeight="1">
      <c r="A86" s="2"/>
      <c r="B86" s="2"/>
      <c r="C86" s="2"/>
      <c r="D86" s="2"/>
      <c r="E86" s="2"/>
      <c r="F86" s="2"/>
      <c r="G86" s="2"/>
      <c r="H86" s="2"/>
      <c r="I86" s="2"/>
    </row>
    <row r="87" ht="15.75" customHeight="1">
      <c r="A87" s="2"/>
      <c r="B87" s="2"/>
      <c r="C87" s="2"/>
      <c r="D87" s="2"/>
      <c r="E87" s="2"/>
      <c r="F87" s="2"/>
      <c r="G87" s="2"/>
      <c r="H87" s="2"/>
      <c r="I87" s="2"/>
    </row>
    <row r="88" ht="15.75" customHeight="1">
      <c r="A88" s="2"/>
      <c r="B88" s="2"/>
      <c r="C88" s="2"/>
      <c r="D88" s="2"/>
      <c r="E88" s="2"/>
      <c r="F88" s="2"/>
      <c r="G88" s="2"/>
      <c r="H88" s="2"/>
      <c r="I88" s="2"/>
    </row>
    <row r="89" ht="15.75" customHeight="1">
      <c r="A89" s="2"/>
      <c r="B89" s="2"/>
      <c r="C89" s="2"/>
      <c r="D89" s="2"/>
      <c r="E89" s="2"/>
      <c r="F89" s="2"/>
      <c r="G89" s="2"/>
      <c r="H89" s="2"/>
      <c r="I89" s="2"/>
    </row>
    <row r="90" ht="15.75" customHeight="1">
      <c r="A90" s="2"/>
      <c r="B90" s="2"/>
      <c r="C90" s="2"/>
      <c r="D90" s="2"/>
      <c r="E90" s="2"/>
      <c r="F90" s="2"/>
      <c r="G90" s="2"/>
      <c r="H90" s="2"/>
      <c r="I90" s="2"/>
    </row>
    <row r="91" ht="15.75" customHeight="1">
      <c r="A91" s="2"/>
      <c r="B91" s="2"/>
      <c r="C91" s="2"/>
      <c r="D91" s="2"/>
      <c r="E91" s="2"/>
      <c r="F91" s="2"/>
      <c r="G91" s="2"/>
      <c r="H91" s="2"/>
      <c r="I91" s="2"/>
    </row>
    <row r="92" ht="15.75" customHeight="1">
      <c r="A92" s="2"/>
      <c r="B92" s="2"/>
      <c r="C92" s="2"/>
      <c r="D92" s="2"/>
      <c r="E92" s="2"/>
      <c r="F92" s="2"/>
      <c r="G92" s="2"/>
      <c r="H92" s="2"/>
      <c r="I92" s="2"/>
    </row>
    <row r="93" ht="15.75" customHeight="1">
      <c r="A93" s="2"/>
      <c r="B93" s="2"/>
      <c r="C93" s="2"/>
      <c r="D93" s="2"/>
      <c r="E93" s="2"/>
      <c r="F93" s="2"/>
      <c r="G93" s="2"/>
      <c r="H93" s="2"/>
      <c r="I93" s="2"/>
    </row>
    <row r="94" ht="15.75" customHeight="1">
      <c r="A94" s="2"/>
      <c r="B94" s="2"/>
      <c r="C94" s="2"/>
      <c r="D94" s="2"/>
      <c r="E94" s="2"/>
      <c r="F94" s="2"/>
      <c r="G94" s="2"/>
      <c r="H94" s="2"/>
      <c r="I94" s="2"/>
    </row>
    <row r="95" ht="15.75" customHeight="1">
      <c r="A95" s="2"/>
      <c r="B95" s="2"/>
      <c r="C95" s="2"/>
      <c r="D95" s="2"/>
      <c r="E95" s="2"/>
      <c r="F95" s="2"/>
      <c r="G95" s="2"/>
      <c r="H95" s="2"/>
      <c r="I95" s="2"/>
    </row>
    <row r="96" ht="15.75" customHeight="1">
      <c r="A96" s="2"/>
      <c r="B96" s="2"/>
      <c r="C96" s="2"/>
      <c r="D96" s="2"/>
      <c r="E96" s="2"/>
      <c r="F96" s="2"/>
      <c r="G96" s="2"/>
      <c r="H96" s="2"/>
      <c r="I96" s="2"/>
    </row>
    <row r="97" ht="15.75" customHeight="1">
      <c r="A97" s="2"/>
      <c r="B97" s="2"/>
      <c r="C97" s="2"/>
      <c r="D97" s="2"/>
      <c r="E97" s="2"/>
      <c r="F97" s="2"/>
      <c r="G97" s="2"/>
      <c r="H97" s="2"/>
      <c r="I97" s="2"/>
    </row>
    <row r="98" ht="15.75" customHeight="1">
      <c r="A98" s="2"/>
      <c r="B98" s="2"/>
      <c r="C98" s="2"/>
      <c r="D98" s="2"/>
      <c r="E98" s="2"/>
      <c r="F98" s="2"/>
      <c r="G98" s="2"/>
      <c r="H98" s="2"/>
      <c r="I98" s="2"/>
    </row>
    <row r="99" ht="15.75" customHeight="1">
      <c r="A99" s="2"/>
      <c r="B99" s="2"/>
      <c r="C99" s="2"/>
      <c r="D99" s="2"/>
      <c r="E99" s="2"/>
      <c r="F99" s="2"/>
      <c r="G99" s="2"/>
      <c r="H99" s="2"/>
      <c r="I99" s="2"/>
    </row>
    <row r="100" ht="15.75" customHeight="1">
      <c r="A100" s="2"/>
      <c r="B100" s="2"/>
      <c r="C100" s="2"/>
      <c r="D100" s="2"/>
      <c r="E100" s="2"/>
      <c r="F100" s="2"/>
      <c r="G100" s="2"/>
      <c r="H100" s="2"/>
      <c r="I100" s="2"/>
    </row>
    <row r="101" ht="15.75" customHeight="1">
      <c r="A101" s="2"/>
      <c r="B101" s="2"/>
      <c r="C101" s="2"/>
      <c r="D101" s="2"/>
      <c r="E101" s="2"/>
      <c r="F101" s="2"/>
      <c r="G101" s="2"/>
      <c r="H101" s="2"/>
      <c r="I101" s="2"/>
    </row>
    <row r="102" ht="15.75" customHeight="1">
      <c r="A102" s="2"/>
      <c r="B102" s="2"/>
      <c r="C102" s="2"/>
      <c r="D102" s="2"/>
      <c r="E102" s="2"/>
      <c r="F102" s="2"/>
      <c r="G102" s="2"/>
      <c r="H102" s="2"/>
      <c r="I102" s="2"/>
    </row>
    <row r="103" ht="15.75" customHeight="1">
      <c r="A103" s="2"/>
      <c r="B103" s="2"/>
      <c r="C103" s="2"/>
      <c r="D103" s="2"/>
      <c r="E103" s="2"/>
      <c r="F103" s="2"/>
      <c r="G103" s="2"/>
      <c r="H103" s="2"/>
      <c r="I103" s="2"/>
    </row>
    <row r="104" ht="15.75" customHeight="1">
      <c r="A104" s="2"/>
      <c r="B104" s="2"/>
      <c r="C104" s="2"/>
      <c r="D104" s="2"/>
      <c r="E104" s="2"/>
      <c r="F104" s="2"/>
      <c r="G104" s="2"/>
      <c r="H104" s="2"/>
      <c r="I104" s="2"/>
    </row>
    <row r="105" ht="15.75" customHeight="1">
      <c r="A105" s="2"/>
      <c r="B105" s="2"/>
      <c r="C105" s="2"/>
      <c r="D105" s="2"/>
      <c r="E105" s="2"/>
      <c r="F105" s="2"/>
      <c r="G105" s="2"/>
      <c r="H105" s="2"/>
      <c r="I105" s="2"/>
    </row>
    <row r="106" ht="15.75" customHeight="1">
      <c r="A106" s="2"/>
      <c r="B106" s="2"/>
      <c r="C106" s="2"/>
      <c r="D106" s="2"/>
      <c r="E106" s="2"/>
      <c r="F106" s="2"/>
      <c r="G106" s="2"/>
      <c r="H106" s="2"/>
      <c r="I106" s="2"/>
    </row>
    <row r="107" ht="15.75" customHeight="1">
      <c r="A107" s="2"/>
      <c r="B107" s="2"/>
      <c r="C107" s="2"/>
      <c r="D107" s="2"/>
      <c r="E107" s="2"/>
      <c r="F107" s="2"/>
      <c r="G107" s="2"/>
      <c r="H107" s="2"/>
      <c r="I107" s="2"/>
    </row>
    <row r="108" ht="15.75" customHeight="1">
      <c r="A108" s="2"/>
      <c r="B108" s="2"/>
      <c r="C108" s="2"/>
      <c r="D108" s="2"/>
      <c r="E108" s="2"/>
      <c r="F108" s="2"/>
      <c r="G108" s="2"/>
      <c r="H108" s="2"/>
      <c r="I108" s="2"/>
    </row>
    <row r="109" ht="15.75" customHeight="1">
      <c r="A109" s="2"/>
      <c r="B109" s="2"/>
      <c r="C109" s="2"/>
      <c r="D109" s="2"/>
      <c r="E109" s="2"/>
      <c r="F109" s="2"/>
      <c r="G109" s="2"/>
      <c r="H109" s="2"/>
      <c r="I109" s="2"/>
    </row>
    <row r="110" ht="15.75" customHeight="1">
      <c r="A110" s="2"/>
      <c r="B110" s="2"/>
      <c r="C110" s="2"/>
      <c r="D110" s="2"/>
      <c r="E110" s="2"/>
      <c r="F110" s="2"/>
      <c r="G110" s="2"/>
      <c r="H110" s="2"/>
      <c r="I110" s="2"/>
    </row>
    <row r="111" ht="15.75" customHeight="1">
      <c r="A111" s="2"/>
      <c r="B111" s="2"/>
      <c r="C111" s="2"/>
      <c r="D111" s="2"/>
      <c r="E111" s="2"/>
      <c r="F111" s="2"/>
      <c r="G111" s="2"/>
      <c r="H111" s="2"/>
      <c r="I111" s="2"/>
    </row>
    <row r="112" ht="15.75" customHeight="1">
      <c r="A112" s="2"/>
      <c r="B112" s="2"/>
      <c r="C112" s="2"/>
      <c r="D112" s="2"/>
      <c r="E112" s="2"/>
      <c r="F112" s="2"/>
      <c r="G112" s="2"/>
      <c r="H112" s="2"/>
      <c r="I112" s="2"/>
    </row>
    <row r="113" ht="15.75" customHeight="1">
      <c r="A113" s="2"/>
      <c r="B113" s="2"/>
      <c r="C113" s="2"/>
      <c r="D113" s="2"/>
      <c r="E113" s="2"/>
      <c r="F113" s="2"/>
      <c r="G113" s="2"/>
      <c r="H113" s="2"/>
      <c r="I113" s="2"/>
    </row>
    <row r="114" ht="15.75" customHeight="1">
      <c r="A114" s="2"/>
      <c r="B114" s="2"/>
      <c r="C114" s="2"/>
      <c r="D114" s="2"/>
      <c r="E114" s="2"/>
      <c r="F114" s="2"/>
      <c r="G114" s="2"/>
      <c r="H114" s="2"/>
      <c r="I114" s="2"/>
    </row>
    <row r="115" ht="15.75" customHeight="1">
      <c r="A115" s="2"/>
      <c r="B115" s="2"/>
      <c r="C115" s="2"/>
      <c r="D115" s="2"/>
      <c r="E115" s="2"/>
      <c r="F115" s="2"/>
      <c r="G115" s="2"/>
      <c r="H115" s="2"/>
      <c r="I115" s="2"/>
    </row>
    <row r="116" ht="15.75" customHeight="1">
      <c r="A116" s="2"/>
      <c r="B116" s="2"/>
      <c r="C116" s="2"/>
      <c r="D116" s="2"/>
      <c r="E116" s="2"/>
      <c r="F116" s="2"/>
      <c r="G116" s="2"/>
      <c r="H116" s="2"/>
      <c r="I116" s="2"/>
    </row>
    <row r="117" ht="15.75" customHeight="1">
      <c r="A117" s="2"/>
      <c r="B117" s="2"/>
      <c r="C117" s="2"/>
      <c r="D117" s="2"/>
      <c r="E117" s="2"/>
      <c r="F117" s="2"/>
      <c r="G117" s="2"/>
      <c r="H117" s="2"/>
      <c r="I117" s="2"/>
    </row>
    <row r="118" ht="15.75" customHeight="1">
      <c r="A118" s="2"/>
      <c r="B118" s="2"/>
      <c r="C118" s="2"/>
      <c r="D118" s="2"/>
      <c r="E118" s="2"/>
      <c r="F118" s="2"/>
      <c r="G118" s="2"/>
      <c r="H118" s="2"/>
      <c r="I118" s="2"/>
    </row>
    <row r="119" ht="15.75" customHeight="1">
      <c r="A119" s="2"/>
      <c r="B119" s="2"/>
      <c r="C119" s="2"/>
      <c r="D119" s="2"/>
      <c r="E119" s="2"/>
      <c r="F119" s="2"/>
      <c r="G119" s="2"/>
      <c r="H119" s="2"/>
      <c r="I119" s="2"/>
    </row>
    <row r="120" ht="15.75" customHeight="1">
      <c r="A120" s="2"/>
      <c r="B120" s="2"/>
      <c r="C120" s="2"/>
      <c r="D120" s="2"/>
      <c r="E120" s="2"/>
      <c r="F120" s="2"/>
      <c r="G120" s="2"/>
      <c r="H120" s="2"/>
      <c r="I120" s="2"/>
    </row>
    <row r="121" ht="15.75" customHeight="1">
      <c r="A121" s="2"/>
      <c r="B121" s="2"/>
      <c r="C121" s="2"/>
      <c r="D121" s="2"/>
      <c r="E121" s="2"/>
      <c r="F121" s="2"/>
      <c r="G121" s="2"/>
      <c r="H121" s="2"/>
      <c r="I121" s="2"/>
    </row>
    <row r="122" ht="15.75" customHeight="1">
      <c r="A122" s="2"/>
      <c r="B122" s="2"/>
      <c r="C122" s="2"/>
      <c r="D122" s="2"/>
      <c r="E122" s="2"/>
      <c r="F122" s="2"/>
      <c r="G122" s="2"/>
      <c r="H122" s="2"/>
      <c r="I122" s="2"/>
    </row>
    <row r="123" ht="15.75" customHeight="1">
      <c r="A123" s="2"/>
      <c r="B123" s="2"/>
      <c r="C123" s="2"/>
      <c r="D123" s="2"/>
      <c r="E123" s="2"/>
      <c r="F123" s="2"/>
      <c r="G123" s="2"/>
      <c r="H123" s="2"/>
      <c r="I123" s="2"/>
    </row>
    <row r="124" ht="15.75" customHeight="1">
      <c r="A124" s="2"/>
      <c r="B124" s="2"/>
      <c r="C124" s="2"/>
      <c r="D124" s="2"/>
      <c r="E124" s="2"/>
      <c r="F124" s="2"/>
      <c r="G124" s="2"/>
      <c r="H124" s="2"/>
      <c r="I124" s="2"/>
    </row>
    <row r="125" ht="15.75" customHeight="1">
      <c r="A125" s="2"/>
      <c r="B125" s="2"/>
      <c r="C125" s="2"/>
      <c r="D125" s="2"/>
      <c r="E125" s="2"/>
      <c r="F125" s="2"/>
      <c r="G125" s="2"/>
      <c r="H125" s="2"/>
      <c r="I125" s="2"/>
    </row>
    <row r="126" ht="15.75" customHeight="1">
      <c r="A126" s="2"/>
      <c r="B126" s="2"/>
      <c r="C126" s="2"/>
      <c r="D126" s="2"/>
      <c r="E126" s="2"/>
      <c r="F126" s="2"/>
      <c r="G126" s="2"/>
      <c r="H126" s="2"/>
      <c r="I126" s="2"/>
    </row>
    <row r="127" ht="15.75" customHeight="1">
      <c r="A127" s="2"/>
      <c r="B127" s="2"/>
      <c r="C127" s="2"/>
      <c r="D127" s="2"/>
      <c r="E127" s="2"/>
      <c r="F127" s="2"/>
      <c r="G127" s="2"/>
      <c r="H127" s="2"/>
      <c r="I127" s="2"/>
    </row>
    <row r="128" ht="15.75" customHeight="1">
      <c r="A128" s="2"/>
      <c r="B128" s="2"/>
      <c r="C128" s="2"/>
      <c r="D128" s="2"/>
      <c r="E128" s="2"/>
      <c r="F128" s="2"/>
      <c r="G128" s="2"/>
      <c r="H128" s="2"/>
      <c r="I128" s="2"/>
    </row>
    <row r="129" ht="15.75" customHeight="1">
      <c r="A129" s="2"/>
      <c r="B129" s="2"/>
      <c r="C129" s="2"/>
      <c r="D129" s="2"/>
      <c r="E129" s="2"/>
      <c r="F129" s="2"/>
      <c r="G129" s="2"/>
      <c r="H129" s="2"/>
      <c r="I129" s="2"/>
    </row>
    <row r="130" ht="15.75" customHeight="1">
      <c r="A130" s="2"/>
      <c r="B130" s="2"/>
      <c r="C130" s="2"/>
      <c r="D130" s="2"/>
      <c r="E130" s="2"/>
      <c r="F130" s="2"/>
      <c r="G130" s="2"/>
      <c r="H130" s="2"/>
      <c r="I130" s="2"/>
    </row>
    <row r="131" ht="15.75" customHeight="1">
      <c r="A131" s="2"/>
      <c r="B131" s="2"/>
      <c r="C131" s="2"/>
      <c r="D131" s="2"/>
      <c r="E131" s="2"/>
      <c r="F131" s="2"/>
      <c r="G131" s="2"/>
      <c r="H131" s="2"/>
      <c r="I131" s="2"/>
    </row>
    <row r="132" ht="15.75" customHeight="1">
      <c r="A132" s="2"/>
      <c r="B132" s="2"/>
      <c r="C132" s="2"/>
      <c r="D132" s="2"/>
      <c r="E132" s="2"/>
      <c r="F132" s="2"/>
      <c r="G132" s="2"/>
      <c r="H132" s="2"/>
      <c r="I132" s="2"/>
    </row>
    <row r="133" ht="15.75" customHeight="1">
      <c r="A133" s="2"/>
      <c r="B133" s="2"/>
      <c r="C133" s="2"/>
      <c r="D133" s="2"/>
      <c r="E133" s="2"/>
      <c r="F133" s="2"/>
      <c r="G133" s="2"/>
      <c r="H133" s="2"/>
      <c r="I133" s="2"/>
    </row>
    <row r="134" ht="15.75" customHeight="1">
      <c r="A134" s="2"/>
      <c r="B134" s="2"/>
      <c r="C134" s="2"/>
      <c r="D134" s="2"/>
      <c r="E134" s="2"/>
      <c r="F134" s="2"/>
      <c r="G134" s="2"/>
      <c r="H134" s="2"/>
      <c r="I134" s="2"/>
    </row>
    <row r="135" ht="15.75" customHeight="1">
      <c r="A135" s="2"/>
      <c r="B135" s="2"/>
      <c r="C135" s="2"/>
      <c r="D135" s="2"/>
      <c r="E135" s="2"/>
      <c r="F135" s="2"/>
      <c r="G135" s="2"/>
      <c r="H135" s="2"/>
      <c r="I135" s="2"/>
    </row>
    <row r="136" ht="15.75" customHeight="1">
      <c r="A136" s="2"/>
      <c r="B136" s="2"/>
      <c r="C136" s="2"/>
      <c r="D136" s="2"/>
      <c r="E136" s="2"/>
      <c r="F136" s="2"/>
      <c r="G136" s="2"/>
      <c r="H136" s="2"/>
      <c r="I136" s="2"/>
    </row>
    <row r="137" ht="15.75" customHeight="1">
      <c r="A137" s="2"/>
      <c r="B137" s="2"/>
      <c r="C137" s="2"/>
      <c r="D137" s="2"/>
      <c r="E137" s="2"/>
      <c r="F137" s="2"/>
      <c r="G137" s="2"/>
      <c r="H137" s="2"/>
      <c r="I137" s="2"/>
    </row>
    <row r="138" ht="15.75" customHeight="1">
      <c r="A138" s="2"/>
      <c r="B138" s="2"/>
      <c r="C138" s="2"/>
      <c r="D138" s="2"/>
      <c r="E138" s="2"/>
      <c r="F138" s="2"/>
      <c r="G138" s="2"/>
      <c r="H138" s="2"/>
      <c r="I138" s="2"/>
    </row>
    <row r="139" ht="15.75" customHeight="1">
      <c r="A139" s="2"/>
      <c r="B139" s="2"/>
      <c r="C139" s="2"/>
      <c r="D139" s="2"/>
      <c r="E139" s="2"/>
      <c r="F139" s="2"/>
      <c r="G139" s="2"/>
      <c r="H139" s="2"/>
      <c r="I139" s="2"/>
    </row>
    <row r="140" ht="15.75" customHeight="1">
      <c r="A140" s="2"/>
      <c r="B140" s="2"/>
      <c r="C140" s="2"/>
      <c r="D140" s="2"/>
      <c r="E140" s="2"/>
      <c r="F140" s="2"/>
      <c r="G140" s="2"/>
      <c r="H140" s="2"/>
      <c r="I140" s="2"/>
    </row>
    <row r="141" ht="15.75" customHeight="1">
      <c r="A141" s="2"/>
      <c r="B141" s="2"/>
      <c r="C141" s="2"/>
      <c r="D141" s="2"/>
      <c r="E141" s="2"/>
      <c r="F141" s="2"/>
      <c r="G141" s="2"/>
      <c r="H141" s="2"/>
      <c r="I141" s="2"/>
    </row>
    <row r="142" ht="15.75" customHeight="1">
      <c r="A142" s="2"/>
      <c r="B142" s="2"/>
      <c r="C142" s="2"/>
      <c r="D142" s="2"/>
      <c r="E142" s="2"/>
      <c r="F142" s="2"/>
      <c r="G142" s="2"/>
      <c r="H142" s="2"/>
      <c r="I142" s="2"/>
    </row>
    <row r="143" ht="15.75" customHeight="1">
      <c r="A143" s="2"/>
      <c r="B143" s="2"/>
      <c r="C143" s="2"/>
      <c r="D143" s="2"/>
      <c r="E143" s="2"/>
      <c r="F143" s="2"/>
      <c r="G143" s="2"/>
      <c r="H143" s="2"/>
      <c r="I143" s="2"/>
    </row>
    <row r="144" ht="15.75" customHeight="1">
      <c r="A144" s="2"/>
      <c r="B144" s="2"/>
      <c r="C144" s="2"/>
      <c r="D144" s="2"/>
      <c r="E144" s="2"/>
      <c r="F144" s="2"/>
      <c r="G144" s="2"/>
      <c r="H144" s="2"/>
      <c r="I144" s="2"/>
    </row>
    <row r="145" ht="15.75" customHeight="1">
      <c r="A145" s="2"/>
      <c r="B145" s="2"/>
      <c r="C145" s="2"/>
      <c r="D145" s="2"/>
      <c r="E145" s="2"/>
      <c r="F145" s="2"/>
      <c r="G145" s="2"/>
      <c r="H145" s="2"/>
      <c r="I145" s="2"/>
    </row>
    <row r="146" ht="15.75" customHeight="1">
      <c r="A146" s="2"/>
      <c r="B146" s="2"/>
      <c r="C146" s="2"/>
      <c r="D146" s="2"/>
      <c r="E146" s="2"/>
      <c r="F146" s="2"/>
      <c r="G146" s="2"/>
      <c r="H146" s="2"/>
      <c r="I146" s="2"/>
    </row>
    <row r="147" ht="15.75" customHeight="1">
      <c r="A147" s="2"/>
      <c r="B147" s="2"/>
      <c r="C147" s="2"/>
      <c r="D147" s="2"/>
      <c r="E147" s="2"/>
      <c r="F147" s="2"/>
      <c r="G147" s="2"/>
      <c r="H147" s="2"/>
      <c r="I147" s="2"/>
    </row>
    <row r="148" ht="15.75" customHeight="1">
      <c r="A148" s="2"/>
      <c r="B148" s="2"/>
      <c r="C148" s="2"/>
      <c r="D148" s="2"/>
      <c r="E148" s="2"/>
      <c r="F148" s="2"/>
      <c r="G148" s="2"/>
      <c r="H148" s="2"/>
      <c r="I148" s="2"/>
    </row>
    <row r="149" ht="15.75" customHeight="1">
      <c r="A149" s="2"/>
      <c r="B149" s="2"/>
      <c r="C149" s="2"/>
      <c r="D149" s="2"/>
      <c r="E149" s="2"/>
      <c r="F149" s="2"/>
      <c r="G149" s="2"/>
      <c r="H149" s="2"/>
      <c r="I149" s="2"/>
    </row>
    <row r="150" ht="15.75" customHeight="1">
      <c r="A150" s="2"/>
      <c r="B150" s="2"/>
      <c r="C150" s="2"/>
      <c r="D150" s="2"/>
      <c r="E150" s="2"/>
      <c r="F150" s="2"/>
      <c r="G150" s="2"/>
      <c r="H150" s="2"/>
      <c r="I150" s="2"/>
    </row>
    <row r="151" ht="15.75" customHeight="1">
      <c r="A151" s="2"/>
      <c r="B151" s="2"/>
      <c r="C151" s="2"/>
      <c r="D151" s="2"/>
      <c r="E151" s="2"/>
      <c r="F151" s="2"/>
      <c r="G151" s="2"/>
      <c r="H151" s="2"/>
      <c r="I151" s="2"/>
    </row>
    <row r="152" ht="15.75" customHeight="1">
      <c r="A152" s="2"/>
      <c r="B152" s="2"/>
      <c r="C152" s="2"/>
      <c r="D152" s="2"/>
      <c r="E152" s="2"/>
      <c r="F152" s="2"/>
      <c r="G152" s="2"/>
      <c r="H152" s="2"/>
      <c r="I152" s="2"/>
    </row>
    <row r="153" ht="15.75" customHeight="1">
      <c r="A153" s="2"/>
      <c r="B153" s="2"/>
      <c r="C153" s="2"/>
      <c r="D153" s="2"/>
      <c r="E153" s="2"/>
      <c r="F153" s="2"/>
      <c r="G153" s="2"/>
      <c r="H153" s="2"/>
      <c r="I153" s="2"/>
    </row>
    <row r="154" ht="15.75" customHeight="1">
      <c r="A154" s="2"/>
      <c r="B154" s="2"/>
      <c r="C154" s="2"/>
      <c r="D154" s="2"/>
      <c r="E154" s="2"/>
      <c r="F154" s="2"/>
      <c r="G154" s="2"/>
      <c r="H154" s="2"/>
      <c r="I154" s="2"/>
    </row>
    <row r="155" ht="15.75" customHeight="1">
      <c r="A155" s="2"/>
      <c r="B155" s="2"/>
      <c r="C155" s="2"/>
      <c r="D155" s="2"/>
      <c r="E155" s="2"/>
      <c r="F155" s="2"/>
      <c r="G155" s="2"/>
      <c r="H155" s="2"/>
      <c r="I155" s="2"/>
    </row>
    <row r="156" ht="15.75" customHeight="1">
      <c r="A156" s="2"/>
      <c r="B156" s="2"/>
      <c r="C156" s="2"/>
      <c r="D156" s="2"/>
      <c r="E156" s="2"/>
      <c r="F156" s="2"/>
      <c r="G156" s="2"/>
      <c r="H156" s="2"/>
      <c r="I156" s="2"/>
    </row>
    <row r="157" ht="15.75" customHeight="1">
      <c r="A157" s="2"/>
      <c r="B157" s="2"/>
      <c r="C157" s="2"/>
      <c r="D157" s="2"/>
      <c r="E157" s="2"/>
      <c r="F157" s="2"/>
      <c r="G157" s="2"/>
      <c r="H157" s="2"/>
      <c r="I157" s="2"/>
    </row>
    <row r="158" ht="15.75" customHeight="1">
      <c r="A158" s="2"/>
      <c r="B158" s="2"/>
      <c r="C158" s="2"/>
      <c r="D158" s="2"/>
      <c r="E158" s="2"/>
      <c r="F158" s="2"/>
      <c r="G158" s="2"/>
      <c r="H158" s="2"/>
      <c r="I158" s="2"/>
    </row>
    <row r="159" ht="15.75" customHeight="1">
      <c r="A159" s="2"/>
      <c r="B159" s="2"/>
      <c r="C159" s="2"/>
      <c r="D159" s="2"/>
      <c r="E159" s="2"/>
      <c r="F159" s="2"/>
      <c r="G159" s="2"/>
      <c r="H159" s="2"/>
      <c r="I159" s="2"/>
    </row>
    <row r="160" ht="15.75" customHeight="1">
      <c r="A160" s="2"/>
      <c r="B160" s="2"/>
      <c r="C160" s="2"/>
      <c r="D160" s="2"/>
      <c r="E160" s="2"/>
      <c r="F160" s="2"/>
      <c r="G160" s="2"/>
      <c r="H160" s="2"/>
      <c r="I160" s="2"/>
    </row>
    <row r="161" ht="15.75" customHeight="1">
      <c r="A161" s="2"/>
      <c r="B161" s="2"/>
      <c r="C161" s="2"/>
      <c r="D161" s="2"/>
      <c r="E161" s="2"/>
      <c r="F161" s="2"/>
      <c r="G161" s="2"/>
      <c r="H161" s="2"/>
      <c r="I161" s="2"/>
    </row>
    <row r="162" ht="15.75" customHeight="1">
      <c r="A162" s="2"/>
      <c r="B162" s="2"/>
      <c r="C162" s="2"/>
      <c r="D162" s="2"/>
      <c r="E162" s="2"/>
      <c r="F162" s="2"/>
      <c r="G162" s="2"/>
      <c r="H162" s="2"/>
      <c r="I162" s="2"/>
    </row>
    <row r="163" ht="15.75" customHeight="1">
      <c r="A163" s="2"/>
      <c r="B163" s="2"/>
      <c r="C163" s="2"/>
      <c r="D163" s="2"/>
      <c r="E163" s="2"/>
      <c r="F163" s="2"/>
      <c r="G163" s="2"/>
      <c r="H163" s="2"/>
      <c r="I163" s="2"/>
    </row>
    <row r="164" ht="15.75" customHeight="1">
      <c r="A164" s="2"/>
      <c r="B164" s="2"/>
      <c r="C164" s="2"/>
      <c r="D164" s="2"/>
      <c r="E164" s="2"/>
      <c r="F164" s="2"/>
      <c r="G164" s="2"/>
      <c r="H164" s="2"/>
      <c r="I164" s="2"/>
    </row>
    <row r="165" ht="15.75" customHeight="1">
      <c r="A165" s="2"/>
      <c r="B165" s="2"/>
      <c r="C165" s="2"/>
      <c r="D165" s="2"/>
      <c r="E165" s="2"/>
      <c r="F165" s="2"/>
      <c r="G165" s="2"/>
      <c r="H165" s="2"/>
      <c r="I165" s="2"/>
    </row>
    <row r="166" ht="15.75" customHeight="1">
      <c r="A166" s="2"/>
      <c r="B166" s="2"/>
      <c r="C166" s="2"/>
      <c r="D166" s="2"/>
      <c r="E166" s="2"/>
      <c r="F166" s="2"/>
      <c r="G166" s="2"/>
      <c r="H166" s="2"/>
      <c r="I166" s="2"/>
    </row>
    <row r="167" ht="15.75" customHeight="1">
      <c r="A167" s="2"/>
      <c r="B167" s="2"/>
      <c r="C167" s="2"/>
      <c r="D167" s="2"/>
      <c r="E167" s="2"/>
      <c r="F167" s="2"/>
      <c r="G167" s="2"/>
      <c r="H167" s="2"/>
      <c r="I167" s="2"/>
    </row>
    <row r="168" ht="15.75" customHeight="1">
      <c r="A168" s="2"/>
      <c r="B168" s="2"/>
      <c r="C168" s="2"/>
      <c r="D168" s="2"/>
      <c r="E168" s="2"/>
      <c r="F168" s="2"/>
      <c r="G168" s="2"/>
      <c r="H168" s="2"/>
      <c r="I168" s="2"/>
    </row>
    <row r="169" ht="15.75" customHeight="1">
      <c r="A169" s="2"/>
      <c r="B169" s="2"/>
      <c r="C169" s="2"/>
      <c r="D169" s="2"/>
      <c r="E169" s="2"/>
      <c r="F169" s="2"/>
      <c r="G169" s="2"/>
      <c r="H169" s="2"/>
      <c r="I169" s="2"/>
    </row>
    <row r="170" ht="15.75" customHeight="1">
      <c r="A170" s="2"/>
      <c r="B170" s="2"/>
      <c r="C170" s="2"/>
      <c r="D170" s="2"/>
      <c r="E170" s="2"/>
      <c r="F170" s="2"/>
      <c r="G170" s="2"/>
      <c r="H170" s="2"/>
      <c r="I170" s="2"/>
    </row>
    <row r="171" ht="15.75" customHeight="1">
      <c r="A171" s="2"/>
      <c r="B171" s="2"/>
      <c r="C171" s="2"/>
      <c r="D171" s="2"/>
      <c r="E171" s="2"/>
      <c r="F171" s="2"/>
      <c r="G171" s="2"/>
      <c r="H171" s="2"/>
      <c r="I171" s="2"/>
    </row>
    <row r="172" ht="15.75" customHeight="1">
      <c r="A172" s="2"/>
      <c r="B172" s="2"/>
      <c r="C172" s="2"/>
      <c r="D172" s="2"/>
      <c r="E172" s="2"/>
      <c r="F172" s="2"/>
      <c r="G172" s="2"/>
      <c r="H172" s="2"/>
      <c r="I172" s="2"/>
    </row>
    <row r="173" ht="15.75" customHeight="1">
      <c r="A173" s="2"/>
      <c r="B173" s="2"/>
      <c r="C173" s="2"/>
      <c r="D173" s="2"/>
      <c r="E173" s="2"/>
      <c r="F173" s="2"/>
      <c r="G173" s="2"/>
      <c r="H173" s="2"/>
      <c r="I173" s="2"/>
    </row>
    <row r="174" ht="15.75" customHeight="1">
      <c r="A174" s="2"/>
      <c r="B174" s="2"/>
      <c r="C174" s="2"/>
      <c r="D174" s="2"/>
      <c r="E174" s="2"/>
      <c r="F174" s="2"/>
      <c r="G174" s="2"/>
      <c r="H174" s="2"/>
      <c r="I174" s="2"/>
    </row>
    <row r="175" ht="15.75" customHeight="1">
      <c r="A175" s="2"/>
      <c r="B175" s="2"/>
      <c r="C175" s="2"/>
      <c r="D175" s="2"/>
      <c r="E175" s="2"/>
      <c r="F175" s="2"/>
      <c r="G175" s="2"/>
      <c r="H175" s="2"/>
      <c r="I175" s="2"/>
    </row>
    <row r="176" ht="15.75" customHeight="1">
      <c r="A176" s="2"/>
      <c r="B176" s="2"/>
      <c r="C176" s="2"/>
      <c r="D176" s="2"/>
      <c r="E176" s="2"/>
      <c r="F176" s="2"/>
      <c r="G176" s="2"/>
      <c r="H176" s="2"/>
      <c r="I176" s="2"/>
    </row>
    <row r="177" ht="15.75" customHeight="1">
      <c r="A177" s="2"/>
      <c r="B177" s="2"/>
      <c r="C177" s="2"/>
      <c r="D177" s="2"/>
      <c r="E177" s="2"/>
      <c r="F177" s="2"/>
      <c r="G177" s="2"/>
      <c r="H177" s="2"/>
      <c r="I177" s="2"/>
    </row>
    <row r="178" ht="15.75" customHeight="1">
      <c r="A178" s="2"/>
      <c r="B178" s="2"/>
      <c r="C178" s="2"/>
      <c r="D178" s="2"/>
      <c r="E178" s="2"/>
      <c r="F178" s="2"/>
      <c r="G178" s="2"/>
      <c r="H178" s="2"/>
      <c r="I178" s="2"/>
    </row>
    <row r="179" ht="15.75" customHeight="1">
      <c r="A179" s="2"/>
      <c r="B179" s="2"/>
      <c r="C179" s="2"/>
      <c r="D179" s="2"/>
      <c r="E179" s="2"/>
      <c r="F179" s="2"/>
      <c r="G179" s="2"/>
      <c r="H179" s="2"/>
      <c r="I179" s="2"/>
    </row>
    <row r="180" ht="15.75" customHeight="1">
      <c r="A180" s="2"/>
      <c r="B180" s="2"/>
      <c r="C180" s="2"/>
      <c r="D180" s="2"/>
      <c r="E180" s="2"/>
      <c r="F180" s="2"/>
      <c r="G180" s="2"/>
      <c r="H180" s="2"/>
      <c r="I180" s="2"/>
    </row>
    <row r="181" ht="15.75" customHeight="1">
      <c r="A181" s="2"/>
      <c r="B181" s="2"/>
      <c r="C181" s="2"/>
      <c r="D181" s="2"/>
      <c r="E181" s="2"/>
      <c r="F181" s="2"/>
      <c r="G181" s="2"/>
      <c r="H181" s="2"/>
      <c r="I181" s="2"/>
    </row>
    <row r="182" ht="15.75" customHeight="1">
      <c r="A182" s="2"/>
      <c r="B182" s="2"/>
      <c r="C182" s="2"/>
      <c r="D182" s="2"/>
      <c r="E182" s="2"/>
      <c r="F182" s="2"/>
      <c r="G182" s="2"/>
      <c r="H182" s="2"/>
      <c r="I182" s="2"/>
    </row>
    <row r="183" ht="15.75" customHeight="1">
      <c r="A183" s="2"/>
      <c r="B183" s="2"/>
      <c r="C183" s="2"/>
      <c r="D183" s="2"/>
      <c r="E183" s="2"/>
      <c r="F183" s="2"/>
      <c r="G183" s="2"/>
      <c r="H183" s="2"/>
      <c r="I183" s="2"/>
    </row>
    <row r="184" ht="15.75" customHeight="1">
      <c r="A184" s="2"/>
      <c r="B184" s="2"/>
      <c r="C184" s="2"/>
      <c r="D184" s="2"/>
      <c r="E184" s="2"/>
      <c r="F184" s="2"/>
      <c r="G184" s="2"/>
      <c r="H184" s="2"/>
      <c r="I184" s="2"/>
    </row>
    <row r="185" ht="15.75" customHeight="1">
      <c r="A185" s="2"/>
      <c r="B185" s="2"/>
      <c r="C185" s="2"/>
      <c r="D185" s="2"/>
      <c r="E185" s="2"/>
      <c r="F185" s="2"/>
      <c r="G185" s="2"/>
      <c r="H185" s="2"/>
      <c r="I185" s="2"/>
    </row>
    <row r="186" ht="15.75" customHeight="1">
      <c r="A186" s="2"/>
      <c r="B186" s="2"/>
      <c r="C186" s="2"/>
      <c r="D186" s="2"/>
      <c r="E186" s="2"/>
      <c r="F186" s="2"/>
      <c r="G186" s="2"/>
      <c r="H186" s="2"/>
      <c r="I186" s="2"/>
    </row>
    <row r="187" ht="15.75" customHeight="1">
      <c r="A187" s="2"/>
      <c r="B187" s="2"/>
      <c r="C187" s="2"/>
      <c r="D187" s="2"/>
      <c r="E187" s="2"/>
      <c r="F187" s="2"/>
      <c r="G187" s="2"/>
      <c r="H187" s="2"/>
      <c r="I187" s="2"/>
    </row>
    <row r="188" ht="15.75" customHeight="1">
      <c r="A188" s="2"/>
      <c r="B188" s="2"/>
      <c r="C188" s="2"/>
      <c r="D188" s="2"/>
      <c r="E188" s="2"/>
      <c r="F188" s="2"/>
      <c r="G188" s="2"/>
      <c r="H188" s="2"/>
      <c r="I188" s="2"/>
    </row>
    <row r="189" ht="15.75" customHeight="1">
      <c r="A189" s="2"/>
      <c r="B189" s="2"/>
      <c r="C189" s="2"/>
      <c r="D189" s="2"/>
      <c r="E189" s="2"/>
      <c r="F189" s="2"/>
      <c r="G189" s="2"/>
      <c r="H189" s="2"/>
      <c r="I189" s="2"/>
    </row>
    <row r="190" ht="15.75" customHeight="1">
      <c r="A190" s="2"/>
      <c r="B190" s="2"/>
      <c r="C190" s="2"/>
      <c r="D190" s="2"/>
      <c r="E190" s="2"/>
      <c r="F190" s="2"/>
      <c r="G190" s="2"/>
      <c r="H190" s="2"/>
      <c r="I190" s="2"/>
    </row>
    <row r="191" ht="15.75" customHeight="1">
      <c r="A191" s="2"/>
      <c r="B191" s="2"/>
      <c r="C191" s="2"/>
      <c r="D191" s="2"/>
      <c r="E191" s="2"/>
      <c r="F191" s="2"/>
      <c r="G191" s="2"/>
      <c r="H191" s="2"/>
      <c r="I191" s="2"/>
    </row>
    <row r="192" ht="15.75" customHeight="1">
      <c r="A192" s="2"/>
      <c r="B192" s="2"/>
      <c r="C192" s="2"/>
      <c r="D192" s="2"/>
      <c r="E192" s="2"/>
      <c r="F192" s="2"/>
      <c r="G192" s="2"/>
      <c r="H192" s="2"/>
      <c r="I192" s="2"/>
    </row>
    <row r="193" ht="15.75" customHeight="1">
      <c r="A193" s="2"/>
      <c r="B193" s="2"/>
      <c r="C193" s="2"/>
      <c r="D193" s="2"/>
      <c r="E193" s="2"/>
      <c r="F193" s="2"/>
      <c r="G193" s="2"/>
      <c r="H193" s="2"/>
      <c r="I193" s="2"/>
    </row>
    <row r="194" ht="15.75" customHeight="1">
      <c r="A194" s="2"/>
      <c r="B194" s="2"/>
      <c r="C194" s="2"/>
      <c r="D194" s="2"/>
      <c r="E194" s="2"/>
      <c r="F194" s="2"/>
      <c r="G194" s="2"/>
      <c r="H194" s="2"/>
      <c r="I194" s="2"/>
    </row>
    <row r="195" ht="15.75" customHeight="1">
      <c r="A195" s="2"/>
      <c r="B195" s="2"/>
      <c r="C195" s="2"/>
      <c r="D195" s="2"/>
      <c r="E195" s="2"/>
      <c r="F195" s="2"/>
      <c r="G195" s="2"/>
      <c r="H195" s="2"/>
      <c r="I195" s="2"/>
    </row>
    <row r="196" ht="15.75" customHeight="1">
      <c r="A196" s="2"/>
      <c r="B196" s="2"/>
      <c r="C196" s="2"/>
      <c r="D196" s="2"/>
      <c r="E196" s="2"/>
      <c r="F196" s="2"/>
      <c r="G196" s="2"/>
      <c r="H196" s="2"/>
      <c r="I196" s="2"/>
    </row>
    <row r="197" ht="15.75" customHeight="1">
      <c r="A197" s="2"/>
      <c r="B197" s="2"/>
      <c r="C197" s="2"/>
      <c r="D197" s="2"/>
      <c r="E197" s="2"/>
      <c r="F197" s="2"/>
      <c r="G197" s="2"/>
      <c r="H197" s="2"/>
      <c r="I197" s="2"/>
    </row>
    <row r="198" ht="15.75" customHeight="1">
      <c r="A198" s="2"/>
      <c r="B198" s="2"/>
      <c r="C198" s="2"/>
      <c r="D198" s="2"/>
      <c r="E198" s="2"/>
      <c r="F198" s="2"/>
      <c r="G198" s="2"/>
      <c r="H198" s="2"/>
      <c r="I198" s="2"/>
    </row>
    <row r="199" ht="15.75" customHeight="1">
      <c r="A199" s="2"/>
      <c r="B199" s="2"/>
      <c r="C199" s="2"/>
      <c r="D199" s="2"/>
      <c r="E199" s="2"/>
      <c r="F199" s="2"/>
      <c r="G199" s="2"/>
      <c r="H199" s="2"/>
      <c r="I199" s="2"/>
    </row>
    <row r="200" ht="15.75" customHeight="1">
      <c r="A200" s="2"/>
      <c r="B200" s="2"/>
      <c r="C200" s="2"/>
      <c r="D200" s="2"/>
      <c r="E200" s="2"/>
      <c r="F200" s="2"/>
      <c r="G200" s="2"/>
      <c r="H200" s="2"/>
      <c r="I200" s="2"/>
    </row>
    <row r="201" ht="15.75" customHeight="1">
      <c r="A201" s="2"/>
      <c r="B201" s="2"/>
      <c r="C201" s="2"/>
      <c r="D201" s="2"/>
      <c r="E201" s="2"/>
      <c r="F201" s="2"/>
      <c r="G201" s="2"/>
      <c r="H201" s="2"/>
      <c r="I201" s="2"/>
    </row>
    <row r="202" ht="15.75" customHeight="1">
      <c r="A202" s="2"/>
      <c r="B202" s="2"/>
      <c r="C202" s="2"/>
      <c r="D202" s="2"/>
      <c r="E202" s="2"/>
      <c r="F202" s="2"/>
      <c r="G202" s="2"/>
      <c r="H202" s="2"/>
      <c r="I202" s="2"/>
    </row>
    <row r="203" ht="15.75" customHeight="1">
      <c r="A203" s="2"/>
      <c r="B203" s="2"/>
      <c r="C203" s="2"/>
      <c r="D203" s="2"/>
      <c r="E203" s="2"/>
      <c r="F203" s="2"/>
      <c r="G203" s="2"/>
      <c r="H203" s="2"/>
      <c r="I203" s="2"/>
    </row>
    <row r="204" ht="15.75" customHeight="1">
      <c r="A204" s="2"/>
      <c r="B204" s="2"/>
      <c r="C204" s="2"/>
      <c r="D204" s="2"/>
      <c r="E204" s="2"/>
      <c r="F204" s="2"/>
      <c r="G204" s="2"/>
      <c r="H204" s="2"/>
      <c r="I204" s="2"/>
    </row>
    <row r="205" ht="15.75" customHeight="1">
      <c r="A205" s="2"/>
      <c r="B205" s="2"/>
      <c r="C205" s="2"/>
      <c r="D205" s="2"/>
      <c r="E205" s="2"/>
      <c r="F205" s="2"/>
      <c r="G205" s="2"/>
      <c r="H205" s="2"/>
      <c r="I205" s="2"/>
    </row>
    <row r="206" ht="15.75" customHeight="1">
      <c r="A206" s="2"/>
      <c r="B206" s="2"/>
      <c r="C206" s="2"/>
      <c r="D206" s="2"/>
      <c r="E206" s="2"/>
      <c r="F206" s="2"/>
      <c r="G206" s="2"/>
      <c r="H206" s="2"/>
      <c r="I206" s="2"/>
    </row>
    <row r="207" ht="15.75" customHeight="1">
      <c r="A207" s="2"/>
      <c r="B207" s="2"/>
      <c r="C207" s="2"/>
      <c r="D207" s="2"/>
      <c r="E207" s="2"/>
      <c r="F207" s="2"/>
      <c r="G207" s="2"/>
      <c r="H207" s="2"/>
      <c r="I207" s="2"/>
    </row>
    <row r="208" ht="15.75" customHeight="1">
      <c r="A208" s="2"/>
      <c r="B208" s="2"/>
      <c r="C208" s="2"/>
      <c r="D208" s="2"/>
      <c r="E208" s="2"/>
      <c r="F208" s="2"/>
      <c r="G208" s="2"/>
      <c r="H208" s="2"/>
      <c r="I208" s="2"/>
    </row>
    <row r="209" ht="15.75" customHeight="1">
      <c r="A209" s="2"/>
      <c r="B209" s="2"/>
      <c r="C209" s="2"/>
      <c r="D209" s="2"/>
      <c r="E209" s="2"/>
      <c r="F209" s="2"/>
      <c r="G209" s="2"/>
      <c r="H209" s="2"/>
      <c r="I209" s="2"/>
    </row>
    <row r="210" ht="15.75" customHeight="1">
      <c r="A210" s="2"/>
      <c r="B210" s="2"/>
      <c r="C210" s="2"/>
      <c r="D210" s="2"/>
      <c r="E210" s="2"/>
      <c r="F210" s="2"/>
      <c r="G210" s="2"/>
      <c r="H210" s="2"/>
      <c r="I210" s="2"/>
    </row>
    <row r="211" ht="15.75" customHeight="1">
      <c r="A211" s="2"/>
      <c r="B211" s="2"/>
      <c r="C211" s="2"/>
      <c r="D211" s="2"/>
      <c r="E211" s="2"/>
      <c r="F211" s="2"/>
      <c r="G211" s="2"/>
      <c r="H211" s="2"/>
      <c r="I211" s="2"/>
    </row>
    <row r="212" ht="15.75" customHeight="1">
      <c r="A212" s="2"/>
      <c r="B212" s="2"/>
      <c r="C212" s="2"/>
      <c r="D212" s="2"/>
      <c r="E212" s="2"/>
      <c r="F212" s="2"/>
      <c r="G212" s="2"/>
      <c r="H212" s="2"/>
      <c r="I212" s="2"/>
    </row>
    <row r="213" ht="15.75" customHeight="1">
      <c r="A213" s="2"/>
      <c r="B213" s="2"/>
      <c r="C213" s="2"/>
      <c r="D213" s="2"/>
      <c r="E213" s="2"/>
      <c r="F213" s="2"/>
      <c r="G213" s="2"/>
      <c r="H213" s="2"/>
      <c r="I213" s="2"/>
    </row>
    <row r="214" ht="15.75" customHeight="1">
      <c r="A214" s="2"/>
      <c r="B214" s="2"/>
      <c r="C214" s="2"/>
      <c r="D214" s="2"/>
      <c r="E214" s="2"/>
      <c r="F214" s="2"/>
      <c r="G214" s="2"/>
      <c r="H214" s="2"/>
      <c r="I214" s="2"/>
    </row>
    <row r="215" ht="15.75" customHeight="1">
      <c r="A215" s="2"/>
      <c r="B215" s="2"/>
      <c r="C215" s="2"/>
      <c r="D215" s="2"/>
      <c r="E215" s="2"/>
      <c r="F215" s="2"/>
      <c r="G215" s="2"/>
      <c r="H215" s="2"/>
      <c r="I215" s="2"/>
    </row>
    <row r="216" ht="15.75" customHeight="1">
      <c r="A216" s="2"/>
      <c r="B216" s="2"/>
      <c r="C216" s="2"/>
      <c r="D216" s="2"/>
      <c r="E216" s="2"/>
      <c r="F216" s="2"/>
      <c r="G216" s="2"/>
      <c r="H216" s="2"/>
      <c r="I216" s="2"/>
    </row>
    <row r="217" ht="15.75" customHeight="1">
      <c r="A217" s="2"/>
      <c r="B217" s="2"/>
      <c r="C217" s="2"/>
      <c r="D217" s="2"/>
      <c r="E217" s="2"/>
      <c r="F217" s="2"/>
      <c r="G217" s="2"/>
      <c r="H217" s="2"/>
      <c r="I217" s="2"/>
    </row>
    <row r="218" ht="15.75" customHeight="1">
      <c r="A218" s="2"/>
      <c r="B218" s="2"/>
      <c r="C218" s="2"/>
      <c r="D218" s="2"/>
      <c r="E218" s="2"/>
      <c r="F218" s="2"/>
      <c r="G218" s="2"/>
      <c r="H218" s="2"/>
      <c r="I218" s="2"/>
    </row>
    <row r="219" ht="15.75" customHeight="1">
      <c r="A219" s="2"/>
      <c r="B219" s="2"/>
      <c r="C219" s="2"/>
      <c r="D219" s="2"/>
      <c r="E219" s="2"/>
      <c r="F219" s="2"/>
      <c r="G219" s="2"/>
      <c r="H219" s="2"/>
      <c r="I219" s="2"/>
    </row>
    <row r="220" ht="15.75" customHeight="1">
      <c r="A220" s="2"/>
      <c r="B220" s="2"/>
      <c r="C220" s="2"/>
      <c r="D220" s="2"/>
      <c r="E220" s="2"/>
      <c r="F220" s="2"/>
      <c r="G220" s="2"/>
      <c r="H220" s="2"/>
      <c r="I220" s="2"/>
    </row>
    <row r="221" ht="15.75" customHeight="1">
      <c r="A221" s="2"/>
      <c r="B221" s="2"/>
      <c r="C221" s="2"/>
      <c r="D221" s="2"/>
      <c r="E221" s="2"/>
      <c r="F221" s="2"/>
      <c r="G221" s="2"/>
      <c r="H221" s="2"/>
      <c r="I221" s="2"/>
    </row>
    <row r="222" ht="15.75" customHeight="1">
      <c r="A222" s="2"/>
      <c r="B222" s="2"/>
      <c r="C222" s="2"/>
      <c r="D222" s="2"/>
      <c r="E222" s="2"/>
      <c r="F222" s="2"/>
      <c r="G222" s="2"/>
      <c r="H222" s="2"/>
      <c r="I222" s="2"/>
    </row>
    <row r="223" ht="15.75" customHeight="1">
      <c r="A223" s="2"/>
      <c r="B223" s="2"/>
      <c r="C223" s="2"/>
      <c r="D223" s="2"/>
      <c r="E223" s="2"/>
      <c r="F223" s="2"/>
      <c r="G223" s="2"/>
      <c r="H223" s="2"/>
      <c r="I223" s="2"/>
    </row>
    <row r="224" ht="15.75" customHeight="1">
      <c r="A224" s="2"/>
      <c r="B224" s="2"/>
      <c r="C224" s="2"/>
      <c r="D224" s="2"/>
      <c r="E224" s="2"/>
      <c r="F224" s="2"/>
      <c r="G224" s="2"/>
      <c r="H224" s="2"/>
      <c r="I224" s="2"/>
    </row>
    <row r="225" ht="15.75" customHeight="1">
      <c r="A225" s="2"/>
      <c r="B225" s="2"/>
      <c r="C225" s="2"/>
      <c r="D225" s="2"/>
      <c r="E225" s="2"/>
      <c r="F225" s="2"/>
      <c r="G225" s="2"/>
      <c r="H225" s="2"/>
      <c r="I225" s="2"/>
    </row>
    <row r="226" ht="15.75" customHeight="1">
      <c r="A226" s="2"/>
      <c r="B226" s="2"/>
      <c r="C226" s="2"/>
      <c r="D226" s="2"/>
      <c r="E226" s="2"/>
      <c r="F226" s="2"/>
      <c r="G226" s="2"/>
      <c r="H226" s="2"/>
      <c r="I226" s="2"/>
    </row>
    <row r="227" ht="15.75" customHeight="1">
      <c r="A227" s="2"/>
      <c r="B227" s="2"/>
      <c r="C227" s="2"/>
      <c r="D227" s="2"/>
      <c r="E227" s="2"/>
      <c r="F227" s="2"/>
      <c r="G227" s="2"/>
      <c r="H227" s="2"/>
      <c r="I227" s="2"/>
    </row>
    <row r="228" ht="15.75" customHeight="1">
      <c r="A228" s="2"/>
      <c r="B228" s="2"/>
      <c r="C228" s="2"/>
      <c r="D228" s="2"/>
      <c r="E228" s="2"/>
      <c r="F228" s="2"/>
      <c r="G228" s="2"/>
      <c r="H228" s="2"/>
      <c r="I228" s="2"/>
    </row>
    <row r="229" ht="15.75" customHeight="1">
      <c r="A229" s="2"/>
      <c r="B229" s="2"/>
      <c r="C229" s="2"/>
      <c r="D229" s="2"/>
      <c r="E229" s="2"/>
      <c r="F229" s="2"/>
      <c r="G229" s="2"/>
      <c r="H229" s="2"/>
      <c r="I229" s="2"/>
    </row>
    <row r="230" ht="15.75" customHeight="1">
      <c r="A230" s="2"/>
      <c r="B230" s="2"/>
      <c r="C230" s="2"/>
      <c r="D230" s="2"/>
      <c r="E230" s="2"/>
      <c r="F230" s="2"/>
      <c r="G230" s="2"/>
      <c r="H230" s="2"/>
      <c r="I230" s="2"/>
    </row>
    <row r="231" ht="15.75" customHeight="1">
      <c r="A231" s="2"/>
      <c r="B231" s="2"/>
      <c r="C231" s="2"/>
      <c r="D231" s="2"/>
      <c r="E231" s="2"/>
      <c r="F231" s="2"/>
      <c r="G231" s="2"/>
      <c r="H231" s="2"/>
      <c r="I231" s="2"/>
    </row>
    <row r="232" ht="15.75" customHeight="1">
      <c r="A232" s="2"/>
      <c r="B232" s="2"/>
      <c r="C232" s="2"/>
      <c r="D232" s="2"/>
      <c r="E232" s="2"/>
      <c r="F232" s="2"/>
      <c r="G232" s="2"/>
      <c r="H232" s="2"/>
      <c r="I232" s="2"/>
    </row>
    <row r="233" ht="15.75" customHeight="1">
      <c r="A233" s="2"/>
      <c r="B233" s="2"/>
      <c r="C233" s="2"/>
      <c r="D233" s="2"/>
      <c r="E233" s="2"/>
      <c r="F233" s="2"/>
      <c r="G233" s="2"/>
      <c r="H233" s="2"/>
      <c r="I233" s="2"/>
    </row>
    <row r="234" ht="15.75" customHeight="1">
      <c r="A234" s="2"/>
      <c r="B234" s="2"/>
      <c r="C234" s="2"/>
      <c r="D234" s="2"/>
      <c r="E234" s="2"/>
      <c r="F234" s="2"/>
      <c r="G234" s="2"/>
      <c r="H234" s="2"/>
      <c r="I234" s="2"/>
    </row>
    <row r="235" ht="15.75" customHeight="1">
      <c r="A235" s="2"/>
      <c r="B235" s="2"/>
      <c r="C235" s="2"/>
      <c r="D235" s="2"/>
      <c r="E235" s="2"/>
      <c r="F235" s="2"/>
      <c r="G235" s="2"/>
      <c r="H235" s="2"/>
      <c r="I235" s="2"/>
    </row>
    <row r="236" ht="15.75" customHeight="1">
      <c r="A236" s="2"/>
      <c r="B236" s="2"/>
      <c r="C236" s="2"/>
      <c r="D236" s="2"/>
      <c r="E236" s="2"/>
      <c r="F236" s="2"/>
      <c r="G236" s="2"/>
      <c r="H236" s="2"/>
      <c r="I236" s="2"/>
    </row>
    <row r="237" ht="15.75" customHeight="1">
      <c r="A237" s="2"/>
      <c r="B237" s="2"/>
      <c r="C237" s="2"/>
      <c r="D237" s="2"/>
      <c r="E237" s="2"/>
      <c r="F237" s="2"/>
      <c r="G237" s="2"/>
      <c r="H237" s="2"/>
      <c r="I237" s="2"/>
    </row>
    <row r="238" ht="15.75" customHeight="1">
      <c r="A238" s="2"/>
      <c r="B238" s="2"/>
      <c r="C238" s="2"/>
      <c r="D238" s="2"/>
      <c r="E238" s="2"/>
      <c r="F238" s="2"/>
      <c r="G238" s="2"/>
      <c r="H238" s="2"/>
      <c r="I238" s="2"/>
    </row>
    <row r="239" ht="15.75" customHeight="1">
      <c r="A239" s="2"/>
      <c r="B239" s="2"/>
      <c r="C239" s="2"/>
      <c r="D239" s="2"/>
      <c r="E239" s="2"/>
      <c r="F239" s="2"/>
      <c r="G239" s="2"/>
      <c r="H239" s="2"/>
      <c r="I239" s="2"/>
    </row>
    <row r="240" ht="15.75" customHeight="1">
      <c r="A240" s="2"/>
      <c r="B240" s="2"/>
      <c r="C240" s="2"/>
      <c r="D240" s="2"/>
      <c r="E240" s="2"/>
      <c r="F240" s="2"/>
      <c r="G240" s="2"/>
      <c r="H240" s="2"/>
      <c r="I240" s="2"/>
    </row>
    <row r="241" ht="15.75" customHeight="1">
      <c r="A241" s="2"/>
      <c r="B241" s="2"/>
      <c r="C241" s="2"/>
      <c r="D241" s="2"/>
      <c r="E241" s="2"/>
      <c r="F241" s="2"/>
      <c r="G241" s="2"/>
      <c r="H241" s="2"/>
      <c r="I241" s="2"/>
    </row>
    <row r="242" ht="15.75" customHeight="1">
      <c r="A242" s="2"/>
      <c r="B242" s="2"/>
      <c r="C242" s="2"/>
      <c r="D242" s="2"/>
      <c r="E242" s="2"/>
      <c r="F242" s="2"/>
      <c r="G242" s="2"/>
      <c r="H242" s="2"/>
      <c r="I242" s="2"/>
    </row>
    <row r="243" ht="15.75" customHeight="1">
      <c r="A243" s="2"/>
      <c r="B243" s="2"/>
      <c r="C243" s="2"/>
      <c r="D243" s="2"/>
      <c r="E243" s="2"/>
      <c r="F243" s="2"/>
      <c r="G243" s="2"/>
      <c r="H243" s="2"/>
      <c r="I243" s="2"/>
    </row>
    <row r="244" ht="15.75" customHeight="1">
      <c r="A244" s="2"/>
      <c r="B244" s="2"/>
      <c r="C244" s="2"/>
      <c r="D244" s="2"/>
      <c r="E244" s="2"/>
      <c r="F244" s="2"/>
      <c r="G244" s="2"/>
      <c r="H244" s="2"/>
      <c r="I244" s="2"/>
    </row>
    <row r="245" ht="15.75" customHeight="1">
      <c r="A245" s="2"/>
      <c r="B245" s="2"/>
      <c r="C245" s="2"/>
      <c r="D245" s="2"/>
      <c r="E245" s="2"/>
      <c r="F245" s="2"/>
      <c r="G245" s="2"/>
      <c r="H245" s="2"/>
      <c r="I245" s="2"/>
    </row>
    <row r="246" ht="15.75" customHeight="1">
      <c r="A246" s="2"/>
      <c r="B246" s="2"/>
      <c r="C246" s="2"/>
      <c r="D246" s="2"/>
      <c r="E246" s="2"/>
      <c r="F246" s="2"/>
      <c r="G246" s="2"/>
      <c r="H246" s="2"/>
      <c r="I246" s="2"/>
    </row>
    <row r="247" ht="15.75" customHeight="1">
      <c r="A247" s="2"/>
      <c r="B247" s="2"/>
      <c r="C247" s="2"/>
      <c r="D247" s="2"/>
      <c r="E247" s="2"/>
      <c r="F247" s="2"/>
      <c r="G247" s="2"/>
      <c r="H247" s="2"/>
      <c r="I247" s="2"/>
    </row>
    <row r="248" ht="15.75" customHeight="1">
      <c r="A248" s="2"/>
      <c r="B248" s="2"/>
      <c r="C248" s="2"/>
      <c r="D248" s="2"/>
      <c r="E248" s="2"/>
      <c r="F248" s="2"/>
      <c r="G248" s="2"/>
      <c r="H248" s="2"/>
      <c r="I248" s="2"/>
    </row>
    <row r="249" ht="15.75" customHeight="1">
      <c r="A249" s="2"/>
      <c r="B249" s="2"/>
      <c r="C249" s="2"/>
      <c r="D249" s="2"/>
      <c r="E249" s="2"/>
      <c r="F249" s="2"/>
      <c r="G249" s="2"/>
      <c r="H249" s="2"/>
      <c r="I249" s="2"/>
    </row>
    <row r="250" ht="15.75" customHeight="1">
      <c r="A250" s="2"/>
      <c r="B250" s="2"/>
      <c r="C250" s="2"/>
      <c r="D250" s="2"/>
      <c r="E250" s="2"/>
      <c r="F250" s="2"/>
      <c r="G250" s="2"/>
      <c r="H250" s="2"/>
      <c r="I250" s="2"/>
    </row>
    <row r="251" ht="15.75" customHeight="1">
      <c r="A251" s="2"/>
      <c r="B251" s="2"/>
      <c r="C251" s="2"/>
      <c r="D251" s="2"/>
      <c r="E251" s="2"/>
      <c r="F251" s="2"/>
      <c r="G251" s="2"/>
      <c r="H251" s="2"/>
      <c r="I251" s="2"/>
    </row>
    <row r="252" ht="15.75" customHeight="1">
      <c r="A252" s="2"/>
      <c r="B252" s="2"/>
      <c r="C252" s="2"/>
      <c r="D252" s="2"/>
      <c r="E252" s="2"/>
      <c r="F252" s="2"/>
      <c r="G252" s="2"/>
      <c r="H252" s="2"/>
      <c r="I252" s="2"/>
    </row>
    <row r="253" ht="15.75" customHeight="1">
      <c r="A253" s="2"/>
      <c r="B253" s="2"/>
      <c r="C253" s="2"/>
      <c r="D253" s="2"/>
      <c r="E253" s="2"/>
      <c r="F253" s="2"/>
      <c r="G253" s="2"/>
      <c r="H253" s="2"/>
      <c r="I253" s="2"/>
    </row>
    <row r="254" ht="15.75" customHeight="1">
      <c r="A254" s="2"/>
      <c r="B254" s="2"/>
      <c r="C254" s="2"/>
      <c r="D254" s="2"/>
      <c r="E254" s="2"/>
      <c r="F254" s="2"/>
      <c r="G254" s="2"/>
      <c r="H254" s="2"/>
      <c r="I254" s="2"/>
    </row>
    <row r="255" ht="15.75" customHeight="1">
      <c r="A255" s="2"/>
      <c r="B255" s="2"/>
      <c r="C255" s="2"/>
      <c r="D255" s="2"/>
      <c r="E255" s="2"/>
      <c r="F255" s="2"/>
      <c r="G255" s="2"/>
      <c r="H255" s="2"/>
      <c r="I255" s="2"/>
    </row>
    <row r="256" ht="15.75" customHeight="1">
      <c r="A256" s="2"/>
      <c r="B256" s="2"/>
      <c r="C256" s="2"/>
      <c r="D256" s="2"/>
      <c r="E256" s="2"/>
      <c r="F256" s="2"/>
      <c r="G256" s="2"/>
      <c r="H256" s="2"/>
      <c r="I256" s="2"/>
    </row>
    <row r="257" ht="15.75" customHeight="1">
      <c r="A257" s="2"/>
      <c r="B257" s="2"/>
      <c r="C257" s="2"/>
      <c r="D257" s="2"/>
      <c r="E257" s="2"/>
      <c r="F257" s="2"/>
      <c r="G257" s="2"/>
      <c r="H257" s="2"/>
      <c r="I257" s="2"/>
    </row>
    <row r="258" ht="15.75" customHeight="1">
      <c r="A258" s="2"/>
      <c r="B258" s="2"/>
      <c r="C258" s="2"/>
      <c r="D258" s="2"/>
      <c r="E258" s="2"/>
      <c r="F258" s="2"/>
      <c r="G258" s="2"/>
      <c r="H258" s="2"/>
      <c r="I258" s="2"/>
    </row>
    <row r="259" ht="15.75" customHeight="1">
      <c r="A259" s="2"/>
      <c r="B259" s="2"/>
      <c r="C259" s="2"/>
      <c r="D259" s="2"/>
      <c r="E259" s="2"/>
      <c r="F259" s="2"/>
      <c r="G259" s="2"/>
      <c r="H259" s="2"/>
      <c r="I259" s="2"/>
    </row>
    <row r="260" ht="15.75" customHeight="1">
      <c r="A260" s="2"/>
      <c r="B260" s="2"/>
      <c r="C260" s="2"/>
      <c r="D260" s="2"/>
      <c r="E260" s="2"/>
      <c r="F260" s="2"/>
      <c r="G260" s="2"/>
      <c r="H260" s="2"/>
      <c r="I260" s="2"/>
    </row>
    <row r="261" ht="15.75" customHeight="1">
      <c r="A261" s="2"/>
      <c r="B261" s="2"/>
      <c r="C261" s="2"/>
      <c r="D261" s="2"/>
      <c r="E261" s="2"/>
      <c r="F261" s="2"/>
      <c r="G261" s="2"/>
      <c r="H261" s="2"/>
      <c r="I261" s="2"/>
    </row>
    <row r="262" ht="15.75" customHeight="1">
      <c r="A262" s="2"/>
      <c r="B262" s="2"/>
      <c r="C262" s="2"/>
      <c r="D262" s="2"/>
      <c r="E262" s="2"/>
      <c r="F262" s="2"/>
      <c r="G262" s="2"/>
      <c r="H262" s="2"/>
      <c r="I262" s="2"/>
    </row>
    <row r="263" ht="15.75" customHeight="1">
      <c r="A263" s="2"/>
      <c r="B263" s="2"/>
      <c r="C263" s="2"/>
      <c r="D263" s="2"/>
      <c r="E263" s="2"/>
      <c r="F263" s="2"/>
      <c r="G263" s="2"/>
      <c r="H263" s="2"/>
      <c r="I263" s="2"/>
    </row>
    <row r="264" ht="15.75" customHeight="1">
      <c r="A264" s="2"/>
      <c r="B264" s="2"/>
      <c r="C264" s="2"/>
      <c r="D264" s="2"/>
      <c r="E264" s="2"/>
      <c r="F264" s="2"/>
      <c r="G264" s="2"/>
      <c r="H264" s="2"/>
      <c r="I264" s="2"/>
    </row>
    <row r="265" ht="15.75" customHeight="1">
      <c r="A265" s="2"/>
      <c r="B265" s="2"/>
      <c r="C265" s="2"/>
      <c r="D265" s="2"/>
      <c r="E265" s="2"/>
      <c r="F265" s="2"/>
      <c r="G265" s="2"/>
      <c r="H265" s="2"/>
      <c r="I265" s="2"/>
    </row>
    <row r="266" ht="15.75" customHeight="1">
      <c r="A266" s="2"/>
      <c r="B266" s="2"/>
      <c r="C266" s="2"/>
      <c r="D266" s="2"/>
      <c r="E266" s="2"/>
      <c r="F266" s="2"/>
      <c r="G266" s="2"/>
      <c r="H266" s="2"/>
      <c r="I266" s="2"/>
    </row>
    <row r="267" ht="15.75" customHeight="1">
      <c r="A267" s="2"/>
      <c r="B267" s="2"/>
      <c r="C267" s="2"/>
      <c r="D267" s="2"/>
      <c r="E267" s="2"/>
      <c r="F267" s="2"/>
      <c r="G267" s="2"/>
      <c r="H267" s="2"/>
      <c r="I267" s="2"/>
    </row>
    <row r="268" ht="15.75" customHeight="1">
      <c r="A268" s="2"/>
      <c r="B268" s="2"/>
      <c r="C268" s="2"/>
      <c r="D268" s="2"/>
      <c r="E268" s="2"/>
      <c r="F268" s="2"/>
      <c r="G268" s="2"/>
      <c r="H268" s="2"/>
      <c r="I268" s="2"/>
    </row>
    <row r="269" ht="15.75" customHeight="1">
      <c r="A269" s="2"/>
      <c r="B269" s="2"/>
      <c r="C269" s="2"/>
      <c r="D269" s="2"/>
      <c r="E269" s="2"/>
      <c r="F269" s="2"/>
      <c r="G269" s="2"/>
      <c r="H269" s="2"/>
      <c r="I269" s="2"/>
    </row>
    <row r="270" ht="15.75" customHeight="1">
      <c r="A270" s="2"/>
      <c r="B270" s="2"/>
      <c r="C270" s="2"/>
      <c r="D270" s="2"/>
      <c r="E270" s="2"/>
      <c r="F270" s="2"/>
      <c r="G270" s="2"/>
      <c r="H270" s="2"/>
      <c r="I270" s="2"/>
    </row>
    <row r="271" ht="15.75" customHeight="1">
      <c r="A271" s="2"/>
      <c r="B271" s="2"/>
      <c r="C271" s="2"/>
      <c r="D271" s="2"/>
      <c r="E271" s="2"/>
      <c r="F271" s="2"/>
      <c r="G271" s="2"/>
      <c r="H271" s="2"/>
      <c r="I271" s="2"/>
    </row>
    <row r="272" ht="15.75" customHeight="1">
      <c r="A272" s="2"/>
      <c r="B272" s="2"/>
      <c r="C272" s="2"/>
      <c r="D272" s="2"/>
      <c r="E272" s="2"/>
      <c r="F272" s="2"/>
      <c r="G272" s="2"/>
      <c r="H272" s="2"/>
      <c r="I272" s="2"/>
    </row>
    <row r="273" ht="15.75" customHeight="1">
      <c r="A273" s="2"/>
      <c r="B273" s="2"/>
      <c r="C273" s="2"/>
      <c r="D273" s="2"/>
      <c r="E273" s="2"/>
      <c r="F273" s="2"/>
      <c r="G273" s="2"/>
      <c r="H273" s="2"/>
      <c r="I273" s="2"/>
    </row>
    <row r="274" ht="15.75" customHeight="1">
      <c r="A274" s="2"/>
      <c r="B274" s="2"/>
      <c r="C274" s="2"/>
      <c r="D274" s="2"/>
      <c r="E274" s="2"/>
      <c r="F274" s="2"/>
      <c r="G274" s="2"/>
      <c r="H274" s="2"/>
      <c r="I274" s="2"/>
    </row>
    <row r="275" ht="15.75" customHeight="1">
      <c r="A275" s="2"/>
      <c r="B275" s="2"/>
      <c r="C275" s="2"/>
      <c r="D275" s="2"/>
      <c r="E275" s="2"/>
      <c r="F275" s="2"/>
      <c r="G275" s="2"/>
      <c r="H275" s="2"/>
      <c r="I275" s="2"/>
    </row>
    <row r="276" ht="15.75" customHeight="1">
      <c r="A276" s="2"/>
      <c r="B276" s="2"/>
      <c r="C276" s="2"/>
      <c r="D276" s="2"/>
      <c r="E276" s="2"/>
      <c r="F276" s="2"/>
      <c r="G276" s="2"/>
      <c r="H276" s="2"/>
      <c r="I276" s="2"/>
    </row>
    <row r="277" ht="15.75" customHeight="1">
      <c r="A277" s="2"/>
      <c r="B277" s="2"/>
      <c r="C277" s="2"/>
      <c r="D277" s="2"/>
      <c r="E277" s="2"/>
      <c r="F277" s="2"/>
      <c r="G277" s="2"/>
      <c r="H277" s="2"/>
      <c r="I277" s="2"/>
    </row>
    <row r="278" ht="15.75" customHeight="1">
      <c r="A278" s="2"/>
      <c r="B278" s="2"/>
      <c r="C278" s="2"/>
      <c r="D278" s="2"/>
      <c r="E278" s="2"/>
      <c r="F278" s="2"/>
      <c r="G278" s="2"/>
      <c r="H278" s="2"/>
      <c r="I278" s="2"/>
    </row>
    <row r="279" ht="15.75" customHeight="1">
      <c r="A279" s="2"/>
      <c r="B279" s="2"/>
      <c r="C279" s="2"/>
      <c r="D279" s="2"/>
      <c r="E279" s="2"/>
      <c r="F279" s="2"/>
      <c r="G279" s="2"/>
      <c r="H279" s="2"/>
      <c r="I279" s="2"/>
    </row>
    <row r="280" ht="15.75" customHeight="1">
      <c r="A280" s="2"/>
      <c r="B280" s="2"/>
      <c r="C280" s="2"/>
      <c r="D280" s="2"/>
      <c r="E280" s="2"/>
      <c r="F280" s="2"/>
      <c r="G280" s="2"/>
      <c r="H280" s="2"/>
      <c r="I280" s="2"/>
    </row>
    <row r="281" ht="15.75" customHeight="1">
      <c r="A281" s="2"/>
      <c r="B281" s="2"/>
      <c r="C281" s="2"/>
      <c r="D281" s="2"/>
      <c r="E281" s="2"/>
      <c r="F281" s="2"/>
      <c r="G281" s="2"/>
      <c r="H281" s="2"/>
      <c r="I281" s="2"/>
    </row>
    <row r="282" ht="15.75" customHeight="1">
      <c r="A282" s="2"/>
      <c r="B282" s="2"/>
      <c r="C282" s="2"/>
      <c r="D282" s="2"/>
      <c r="E282" s="2"/>
      <c r="F282" s="2"/>
      <c r="G282" s="2"/>
      <c r="H282" s="2"/>
      <c r="I282" s="2"/>
    </row>
    <row r="283" ht="15.75" customHeight="1">
      <c r="A283" s="2"/>
      <c r="B283" s="2"/>
      <c r="C283" s="2"/>
      <c r="D283" s="2"/>
      <c r="E283" s="2"/>
      <c r="F283" s="2"/>
      <c r="G283" s="2"/>
      <c r="H283" s="2"/>
      <c r="I283" s="2"/>
    </row>
    <row r="284" ht="15.75" customHeight="1">
      <c r="A284" s="2"/>
      <c r="B284" s="2"/>
      <c r="C284" s="2"/>
      <c r="D284" s="2"/>
      <c r="E284" s="2"/>
      <c r="F284" s="2"/>
      <c r="G284" s="2"/>
      <c r="H284" s="2"/>
      <c r="I284" s="2"/>
    </row>
    <row r="285" ht="15.75" customHeight="1">
      <c r="A285" s="2"/>
      <c r="B285" s="2"/>
      <c r="C285" s="2"/>
      <c r="D285" s="2"/>
      <c r="E285" s="2"/>
      <c r="F285" s="2"/>
      <c r="G285" s="2"/>
      <c r="H285" s="2"/>
      <c r="I285" s="2"/>
    </row>
    <row r="286" ht="15.75" customHeight="1">
      <c r="A286" s="2"/>
      <c r="B286" s="2"/>
      <c r="C286" s="2"/>
      <c r="D286" s="2"/>
      <c r="E286" s="2"/>
      <c r="F286" s="2"/>
      <c r="G286" s="2"/>
      <c r="H286" s="2"/>
      <c r="I286" s="2"/>
    </row>
    <row r="287" ht="15.75" customHeight="1">
      <c r="A287" s="2"/>
      <c r="B287" s="2"/>
      <c r="C287" s="2"/>
      <c r="D287" s="2"/>
      <c r="E287" s="2"/>
      <c r="F287" s="2"/>
      <c r="G287" s="2"/>
      <c r="H287" s="2"/>
      <c r="I287" s="2"/>
    </row>
    <row r="288" ht="15.75" customHeight="1">
      <c r="A288" s="2"/>
      <c r="B288" s="2"/>
      <c r="C288" s="2"/>
      <c r="D288" s="2"/>
      <c r="E288" s="2"/>
      <c r="F288" s="2"/>
      <c r="G288" s="2"/>
      <c r="H288" s="2"/>
      <c r="I288" s="2"/>
    </row>
    <row r="289" ht="15.75" customHeight="1">
      <c r="A289" s="2"/>
      <c r="B289" s="2"/>
      <c r="C289" s="2"/>
      <c r="D289" s="2"/>
      <c r="E289" s="2"/>
      <c r="F289" s="2"/>
      <c r="G289" s="2"/>
      <c r="H289" s="2"/>
      <c r="I289" s="2"/>
    </row>
    <row r="290" ht="15.75" customHeight="1">
      <c r="A290" s="2"/>
      <c r="B290" s="2"/>
      <c r="C290" s="2"/>
      <c r="D290" s="2"/>
      <c r="E290" s="2"/>
      <c r="F290" s="2"/>
      <c r="G290" s="2"/>
      <c r="H290" s="2"/>
      <c r="I290" s="2"/>
    </row>
    <row r="291" ht="15.75" customHeight="1">
      <c r="A291" s="2"/>
      <c r="B291" s="2"/>
      <c r="C291" s="2"/>
      <c r="D291" s="2"/>
      <c r="E291" s="2"/>
      <c r="F291" s="2"/>
      <c r="G291" s="2"/>
      <c r="H291" s="2"/>
      <c r="I291" s="2"/>
    </row>
    <row r="292" ht="15.75" customHeight="1">
      <c r="A292" s="2"/>
      <c r="B292" s="2"/>
      <c r="C292" s="2"/>
      <c r="D292" s="2"/>
      <c r="E292" s="2"/>
      <c r="F292" s="2"/>
      <c r="G292" s="2"/>
      <c r="H292" s="2"/>
      <c r="I292" s="2"/>
    </row>
    <row r="293" ht="15.75" customHeight="1">
      <c r="A293" s="2"/>
      <c r="B293" s="2"/>
      <c r="C293" s="2"/>
      <c r="D293" s="2"/>
      <c r="E293" s="2"/>
      <c r="F293" s="2"/>
      <c r="G293" s="2"/>
      <c r="H293" s="2"/>
      <c r="I293" s="2"/>
    </row>
    <row r="294" ht="15.75" customHeight="1">
      <c r="A294" s="2"/>
      <c r="B294" s="2"/>
      <c r="C294" s="2"/>
      <c r="D294" s="2"/>
      <c r="E294" s="2"/>
      <c r="F294" s="2"/>
      <c r="G294" s="2"/>
      <c r="H294" s="2"/>
      <c r="I294" s="2"/>
    </row>
    <row r="295" ht="15.75" customHeight="1">
      <c r="A295" s="2"/>
      <c r="B295" s="2"/>
      <c r="C295" s="2"/>
      <c r="D295" s="2"/>
      <c r="E295" s="2"/>
      <c r="F295" s="2"/>
      <c r="G295" s="2"/>
      <c r="H295" s="2"/>
      <c r="I295" s="2"/>
    </row>
    <row r="296" ht="15.75" customHeight="1">
      <c r="A296" s="2"/>
      <c r="B296" s="2"/>
      <c r="C296" s="2"/>
      <c r="D296" s="2"/>
      <c r="E296" s="2"/>
      <c r="F296" s="2"/>
      <c r="G296" s="2"/>
      <c r="H296" s="2"/>
      <c r="I296" s="2"/>
    </row>
    <row r="297" ht="15.75" customHeight="1">
      <c r="A297" s="2"/>
      <c r="B297" s="2"/>
      <c r="C297" s="2"/>
      <c r="D297" s="2"/>
      <c r="E297" s="2"/>
      <c r="F297" s="2"/>
      <c r="G297" s="2"/>
      <c r="H297" s="2"/>
      <c r="I297" s="2"/>
    </row>
    <row r="298" ht="15.75" customHeight="1">
      <c r="A298" s="2"/>
      <c r="B298" s="2"/>
      <c r="C298" s="2"/>
      <c r="D298" s="2"/>
      <c r="E298" s="2"/>
      <c r="F298" s="2"/>
      <c r="G298" s="2"/>
      <c r="H298" s="2"/>
      <c r="I298" s="2"/>
    </row>
    <row r="299" ht="15.75" customHeight="1">
      <c r="A299" s="2"/>
      <c r="B299" s="2"/>
      <c r="C299" s="2"/>
      <c r="D299" s="2"/>
      <c r="E299" s="2"/>
      <c r="F299" s="2"/>
      <c r="G299" s="2"/>
      <c r="H299" s="2"/>
      <c r="I299" s="2"/>
    </row>
    <row r="300" ht="15.75" customHeight="1">
      <c r="A300" s="2"/>
      <c r="B300" s="2"/>
      <c r="C300" s="2"/>
      <c r="D300" s="2"/>
      <c r="E300" s="2"/>
      <c r="F300" s="2"/>
      <c r="G300" s="2"/>
      <c r="H300" s="2"/>
      <c r="I300" s="2"/>
    </row>
    <row r="301" ht="15.75" customHeight="1">
      <c r="A301" s="2"/>
      <c r="B301" s="2"/>
      <c r="C301" s="2"/>
      <c r="D301" s="2"/>
      <c r="E301" s="2"/>
      <c r="F301" s="2"/>
      <c r="G301" s="2"/>
      <c r="H301" s="2"/>
      <c r="I301" s="2"/>
    </row>
    <row r="302" ht="15.75" customHeight="1">
      <c r="A302" s="2"/>
      <c r="B302" s="2"/>
      <c r="C302" s="2"/>
      <c r="D302" s="2"/>
      <c r="E302" s="2"/>
      <c r="F302" s="2"/>
      <c r="G302" s="2"/>
      <c r="H302" s="2"/>
      <c r="I302" s="2"/>
    </row>
    <row r="303" ht="15.75" customHeight="1">
      <c r="A303" s="2"/>
      <c r="B303" s="2"/>
      <c r="C303" s="2"/>
      <c r="D303" s="2"/>
      <c r="E303" s="2"/>
      <c r="F303" s="2"/>
      <c r="G303" s="2"/>
      <c r="H303" s="2"/>
      <c r="I303" s="2"/>
    </row>
    <row r="304" ht="15.75" customHeight="1">
      <c r="A304" s="2"/>
      <c r="B304" s="2"/>
      <c r="C304" s="2"/>
      <c r="D304" s="2"/>
      <c r="E304" s="2"/>
      <c r="F304" s="2"/>
      <c r="G304" s="2"/>
      <c r="H304" s="2"/>
      <c r="I304" s="2"/>
    </row>
    <row r="305" ht="15.75" customHeight="1">
      <c r="A305" s="2"/>
      <c r="B305" s="2"/>
      <c r="C305" s="2"/>
      <c r="D305" s="2"/>
      <c r="E305" s="2"/>
      <c r="F305" s="2"/>
      <c r="G305" s="2"/>
      <c r="H305" s="2"/>
      <c r="I305" s="2"/>
    </row>
    <row r="306" ht="15.75" customHeight="1">
      <c r="A306" s="2"/>
      <c r="B306" s="2"/>
      <c r="C306" s="2"/>
      <c r="D306" s="2"/>
      <c r="E306" s="2"/>
      <c r="F306" s="2"/>
      <c r="G306" s="2"/>
      <c r="H306" s="2"/>
      <c r="I306" s="2"/>
    </row>
    <row r="307" ht="15.75" customHeight="1">
      <c r="A307" s="2"/>
      <c r="B307" s="2"/>
      <c r="C307" s="2"/>
      <c r="D307" s="2"/>
      <c r="E307" s="2"/>
      <c r="F307" s="2"/>
      <c r="G307" s="2"/>
      <c r="H307" s="2"/>
      <c r="I307" s="2"/>
    </row>
    <row r="308" ht="15.75" customHeight="1">
      <c r="A308" s="2"/>
      <c r="B308" s="2"/>
      <c r="C308" s="2"/>
      <c r="D308" s="2"/>
      <c r="E308" s="2"/>
      <c r="F308" s="2"/>
      <c r="G308" s="2"/>
      <c r="H308" s="2"/>
      <c r="I308" s="2"/>
    </row>
    <row r="309" ht="15.75" customHeight="1">
      <c r="A309" s="2"/>
      <c r="B309" s="2"/>
      <c r="C309" s="2"/>
      <c r="D309" s="2"/>
      <c r="E309" s="2"/>
      <c r="F309" s="2"/>
      <c r="G309" s="2"/>
      <c r="H309" s="2"/>
      <c r="I309" s="2"/>
    </row>
    <row r="310" ht="15.75" customHeight="1">
      <c r="A310" s="2"/>
      <c r="B310" s="2"/>
      <c r="C310" s="2"/>
      <c r="D310" s="2"/>
      <c r="E310" s="2"/>
      <c r="F310" s="2"/>
      <c r="G310" s="2"/>
      <c r="H310" s="2"/>
      <c r="I310" s="2"/>
    </row>
    <row r="311" ht="15.75" customHeight="1">
      <c r="A311" s="2"/>
      <c r="B311" s="2"/>
      <c r="C311" s="2"/>
      <c r="D311" s="2"/>
      <c r="E311" s="2"/>
      <c r="F311" s="2"/>
      <c r="G311" s="2"/>
      <c r="H311" s="2"/>
      <c r="I311" s="2"/>
    </row>
    <row r="312" ht="15.75" customHeight="1">
      <c r="A312" s="2"/>
      <c r="B312" s="2"/>
      <c r="C312" s="2"/>
      <c r="D312" s="2"/>
      <c r="E312" s="2"/>
      <c r="F312" s="2"/>
      <c r="G312" s="2"/>
      <c r="H312" s="2"/>
      <c r="I312" s="2"/>
    </row>
    <row r="313" ht="15.75" customHeight="1">
      <c r="A313" s="2"/>
      <c r="B313" s="2"/>
      <c r="C313" s="2"/>
      <c r="D313" s="2"/>
      <c r="E313" s="2"/>
      <c r="F313" s="2"/>
      <c r="G313" s="2"/>
      <c r="H313" s="2"/>
      <c r="I313" s="2"/>
    </row>
    <row r="314" ht="15.75" customHeight="1">
      <c r="A314" s="2"/>
      <c r="B314" s="2"/>
      <c r="C314" s="2"/>
      <c r="D314" s="2"/>
      <c r="E314" s="2"/>
      <c r="F314" s="2"/>
      <c r="G314" s="2"/>
      <c r="H314" s="2"/>
      <c r="I314" s="2"/>
    </row>
    <row r="315" ht="15.75" customHeight="1">
      <c r="A315" s="2"/>
      <c r="B315" s="2"/>
      <c r="C315" s="2"/>
      <c r="D315" s="2"/>
      <c r="E315" s="2"/>
      <c r="F315" s="2"/>
      <c r="G315" s="2"/>
      <c r="H315" s="2"/>
      <c r="I315" s="2"/>
    </row>
    <row r="316" ht="15.75" customHeight="1">
      <c r="A316" s="2"/>
      <c r="B316" s="2"/>
      <c r="C316" s="2"/>
      <c r="D316" s="2"/>
      <c r="E316" s="2"/>
      <c r="F316" s="2"/>
      <c r="G316" s="2"/>
      <c r="H316" s="2"/>
      <c r="I316" s="2"/>
    </row>
    <row r="317" ht="15.75" customHeight="1">
      <c r="A317" s="2"/>
      <c r="B317" s="2"/>
      <c r="C317" s="2"/>
      <c r="D317" s="2"/>
      <c r="E317" s="2"/>
      <c r="F317" s="2"/>
      <c r="G317" s="2"/>
      <c r="H317" s="2"/>
      <c r="I317" s="2"/>
    </row>
    <row r="318" ht="15.75" customHeight="1">
      <c r="A318" s="2"/>
      <c r="B318" s="2"/>
      <c r="C318" s="2"/>
      <c r="D318" s="2"/>
      <c r="E318" s="2"/>
      <c r="F318" s="2"/>
      <c r="G318" s="2"/>
      <c r="H318" s="2"/>
      <c r="I318" s="2"/>
    </row>
    <row r="319" ht="15.75" customHeight="1">
      <c r="A319" s="2"/>
      <c r="B319" s="2"/>
      <c r="C319" s="2"/>
      <c r="D319" s="2"/>
      <c r="E319" s="2"/>
      <c r="F319" s="2"/>
      <c r="G319" s="2"/>
      <c r="H319" s="2"/>
      <c r="I319" s="2"/>
    </row>
    <row r="320" ht="15.75" customHeight="1">
      <c r="A320" s="2"/>
      <c r="B320" s="2"/>
      <c r="C320" s="2"/>
      <c r="D320" s="2"/>
      <c r="E320" s="2"/>
      <c r="F320" s="2"/>
      <c r="G320" s="2"/>
      <c r="H320" s="2"/>
      <c r="I320" s="2"/>
    </row>
    <row r="321" ht="15.75" customHeight="1">
      <c r="A321" s="2"/>
      <c r="B321" s="2"/>
      <c r="C321" s="2"/>
      <c r="D321" s="2"/>
      <c r="E321" s="2"/>
      <c r="F321" s="2"/>
      <c r="G321" s="2"/>
      <c r="H321" s="2"/>
      <c r="I321" s="2"/>
    </row>
    <row r="322" ht="15.75" customHeight="1">
      <c r="A322" s="2"/>
      <c r="B322" s="2"/>
      <c r="C322" s="2"/>
      <c r="D322" s="2"/>
      <c r="E322" s="2"/>
      <c r="F322" s="2"/>
      <c r="G322" s="2"/>
      <c r="H322" s="2"/>
      <c r="I322" s="2"/>
    </row>
    <row r="323" ht="15.75" customHeight="1">
      <c r="A323" s="2"/>
      <c r="B323" s="2"/>
      <c r="C323" s="2"/>
      <c r="D323" s="2"/>
      <c r="E323" s="2"/>
      <c r="F323" s="2"/>
      <c r="G323" s="2"/>
      <c r="H323" s="2"/>
      <c r="I323" s="2"/>
    </row>
    <row r="324" ht="15.75" customHeight="1">
      <c r="A324" s="2"/>
      <c r="B324" s="2"/>
      <c r="C324" s="2"/>
      <c r="D324" s="2"/>
      <c r="E324" s="2"/>
      <c r="F324" s="2"/>
      <c r="G324" s="2"/>
      <c r="H324" s="2"/>
      <c r="I324" s="2"/>
    </row>
    <row r="325" ht="15.75" customHeight="1">
      <c r="A325" s="2"/>
      <c r="B325" s="2"/>
      <c r="C325" s="2"/>
      <c r="D325" s="2"/>
      <c r="E325" s="2"/>
      <c r="F325" s="2"/>
      <c r="G325" s="2"/>
      <c r="H325" s="2"/>
      <c r="I325" s="2"/>
    </row>
    <row r="326" ht="15.75" customHeight="1">
      <c r="A326" s="2"/>
      <c r="B326" s="2"/>
      <c r="C326" s="2"/>
      <c r="D326" s="2"/>
      <c r="E326" s="2"/>
      <c r="F326" s="2"/>
      <c r="G326" s="2"/>
      <c r="H326" s="2"/>
      <c r="I326" s="2"/>
    </row>
    <row r="327" ht="15.75" customHeight="1">
      <c r="A327" s="2"/>
      <c r="B327" s="2"/>
      <c r="C327" s="2"/>
      <c r="D327" s="2"/>
      <c r="E327" s="2"/>
      <c r="F327" s="2"/>
      <c r="G327" s="2"/>
      <c r="H327" s="2"/>
      <c r="I327" s="2"/>
    </row>
    <row r="328" ht="15.75" customHeight="1">
      <c r="A328" s="2"/>
      <c r="B328" s="2"/>
      <c r="C328" s="2"/>
      <c r="D328" s="2"/>
      <c r="E328" s="2"/>
      <c r="F328" s="2"/>
      <c r="G328" s="2"/>
      <c r="H328" s="2"/>
      <c r="I328" s="2"/>
    </row>
    <row r="329" ht="15.75" customHeight="1">
      <c r="A329" s="2"/>
      <c r="B329" s="2"/>
      <c r="C329" s="2"/>
      <c r="D329" s="2"/>
      <c r="E329" s="2"/>
      <c r="F329" s="2"/>
      <c r="G329" s="2"/>
      <c r="H329" s="2"/>
      <c r="I329" s="2"/>
    </row>
    <row r="330" ht="15.75" customHeight="1">
      <c r="A330" s="2"/>
      <c r="B330" s="2"/>
      <c r="C330" s="2"/>
      <c r="D330" s="2"/>
      <c r="E330" s="2"/>
      <c r="F330" s="2"/>
      <c r="G330" s="2"/>
      <c r="H330" s="2"/>
      <c r="I330" s="2"/>
    </row>
    <row r="331" ht="15.75" customHeight="1">
      <c r="A331" s="2"/>
      <c r="B331" s="2"/>
      <c r="C331" s="2"/>
      <c r="D331" s="2"/>
      <c r="E331" s="2"/>
      <c r="F331" s="2"/>
      <c r="G331" s="2"/>
      <c r="H331" s="2"/>
      <c r="I331" s="2"/>
    </row>
    <row r="332" ht="15.75" customHeight="1">
      <c r="A332" s="2"/>
      <c r="B332" s="2"/>
      <c r="C332" s="2"/>
      <c r="D332" s="2"/>
      <c r="E332" s="2"/>
      <c r="F332" s="2"/>
      <c r="G332" s="2"/>
      <c r="H332" s="2"/>
      <c r="I332" s="2"/>
    </row>
    <row r="333" ht="15.75" customHeight="1">
      <c r="A333" s="2"/>
      <c r="B333" s="2"/>
      <c r="C333" s="2"/>
      <c r="D333" s="2"/>
      <c r="E333" s="2"/>
      <c r="F333" s="2"/>
      <c r="G333" s="2"/>
      <c r="H333" s="2"/>
      <c r="I333" s="2"/>
    </row>
    <row r="334" ht="15.75" customHeight="1">
      <c r="A334" s="2"/>
      <c r="B334" s="2"/>
      <c r="C334" s="2"/>
      <c r="D334" s="2"/>
      <c r="E334" s="2"/>
      <c r="F334" s="2"/>
      <c r="G334" s="2"/>
      <c r="H334" s="2"/>
      <c r="I334" s="2"/>
    </row>
    <row r="335" ht="15.75" customHeight="1">
      <c r="A335" s="2"/>
      <c r="B335" s="2"/>
      <c r="C335" s="2"/>
      <c r="D335" s="2"/>
      <c r="E335" s="2"/>
      <c r="F335" s="2"/>
      <c r="G335" s="2"/>
      <c r="H335" s="2"/>
      <c r="I335" s="2"/>
    </row>
    <row r="336" ht="15.75" customHeight="1">
      <c r="A336" s="2"/>
      <c r="B336" s="2"/>
      <c r="C336" s="2"/>
      <c r="D336" s="2"/>
      <c r="E336" s="2"/>
      <c r="F336" s="2"/>
      <c r="G336" s="2"/>
      <c r="H336" s="2"/>
      <c r="I336" s="2"/>
    </row>
    <row r="337" ht="15.75" customHeight="1">
      <c r="A337" s="2"/>
      <c r="B337" s="2"/>
      <c r="C337" s="2"/>
      <c r="D337" s="2"/>
      <c r="E337" s="2"/>
      <c r="F337" s="2"/>
      <c r="G337" s="2"/>
      <c r="H337" s="2"/>
      <c r="I337" s="2"/>
    </row>
    <row r="338" ht="15.75" customHeight="1">
      <c r="A338" s="2"/>
      <c r="B338" s="2"/>
      <c r="C338" s="2"/>
      <c r="D338" s="2"/>
      <c r="E338" s="2"/>
      <c r="F338" s="2"/>
      <c r="G338" s="2"/>
      <c r="H338" s="2"/>
      <c r="I338" s="2"/>
    </row>
    <row r="339" ht="15.75" customHeight="1">
      <c r="A339" s="2"/>
      <c r="B339" s="2"/>
      <c r="C339" s="2"/>
      <c r="D339" s="2"/>
      <c r="E339" s="2"/>
      <c r="F339" s="2"/>
      <c r="G339" s="2"/>
      <c r="H339" s="2"/>
      <c r="I339" s="2"/>
    </row>
    <row r="340" ht="15.75" customHeight="1">
      <c r="A340" s="2"/>
      <c r="B340" s="2"/>
      <c r="C340" s="2"/>
      <c r="D340" s="2"/>
      <c r="E340" s="2"/>
      <c r="F340" s="2"/>
      <c r="G340" s="2"/>
      <c r="H340" s="2"/>
      <c r="I340" s="2"/>
    </row>
    <row r="341" ht="15.75" customHeight="1">
      <c r="A341" s="2"/>
      <c r="B341" s="2"/>
      <c r="C341" s="2"/>
      <c r="D341" s="2"/>
      <c r="E341" s="2"/>
      <c r="F341" s="2"/>
      <c r="G341" s="2"/>
      <c r="H341" s="2"/>
      <c r="I341" s="2"/>
    </row>
    <row r="342" ht="15.75" customHeight="1">
      <c r="A342" s="2"/>
      <c r="B342" s="2"/>
      <c r="C342" s="2"/>
      <c r="D342" s="2"/>
      <c r="E342" s="2"/>
      <c r="F342" s="2"/>
      <c r="G342" s="2"/>
      <c r="H342" s="2"/>
      <c r="I342" s="2"/>
    </row>
    <row r="343" ht="15.75" customHeight="1">
      <c r="A343" s="2"/>
      <c r="B343" s="2"/>
      <c r="C343" s="2"/>
      <c r="D343" s="2"/>
      <c r="E343" s="2"/>
      <c r="F343" s="2"/>
      <c r="G343" s="2"/>
      <c r="H343" s="2"/>
      <c r="I343" s="2"/>
    </row>
    <row r="344" ht="15.75" customHeight="1">
      <c r="A344" s="2"/>
      <c r="B344" s="2"/>
      <c r="C344" s="2"/>
      <c r="D344" s="2"/>
      <c r="E344" s="2"/>
      <c r="F344" s="2"/>
      <c r="G344" s="2"/>
      <c r="H344" s="2"/>
      <c r="I344" s="2"/>
    </row>
    <row r="345" ht="15.75" customHeight="1">
      <c r="A345" s="2"/>
      <c r="B345" s="2"/>
      <c r="C345" s="2"/>
      <c r="D345" s="2"/>
      <c r="E345" s="2"/>
      <c r="F345" s="2"/>
      <c r="G345" s="2"/>
      <c r="H345" s="2"/>
      <c r="I345" s="2"/>
    </row>
    <row r="346" ht="15.75" customHeight="1">
      <c r="A346" s="2"/>
      <c r="B346" s="2"/>
      <c r="C346" s="2"/>
      <c r="D346" s="2"/>
      <c r="E346" s="2"/>
      <c r="F346" s="2"/>
      <c r="G346" s="2"/>
      <c r="H346" s="2"/>
      <c r="I346" s="2"/>
    </row>
    <row r="347" ht="15.75" customHeight="1">
      <c r="A347" s="2"/>
      <c r="B347" s="2"/>
      <c r="C347" s="2"/>
      <c r="D347" s="2"/>
      <c r="E347" s="2"/>
      <c r="F347" s="2"/>
      <c r="G347" s="2"/>
      <c r="H347" s="2"/>
      <c r="I347" s="2"/>
    </row>
    <row r="348" ht="15.75" customHeight="1">
      <c r="A348" s="2"/>
      <c r="B348" s="2"/>
      <c r="C348" s="2"/>
      <c r="D348" s="2"/>
      <c r="E348" s="2"/>
      <c r="F348" s="2"/>
      <c r="G348" s="2"/>
      <c r="H348" s="2"/>
      <c r="I348" s="2"/>
    </row>
    <row r="349" ht="15.75" customHeight="1">
      <c r="A349" s="2"/>
      <c r="B349" s="2"/>
      <c r="C349" s="2"/>
      <c r="D349" s="2"/>
      <c r="E349" s="2"/>
      <c r="F349" s="2"/>
      <c r="G349" s="2"/>
      <c r="H349" s="2"/>
      <c r="I349" s="2"/>
    </row>
    <row r="350" ht="15.75" customHeight="1">
      <c r="A350" s="2"/>
      <c r="B350" s="2"/>
      <c r="C350" s="2"/>
      <c r="D350" s="2"/>
      <c r="E350" s="2"/>
      <c r="F350" s="2"/>
      <c r="G350" s="2"/>
      <c r="H350" s="2"/>
      <c r="I350" s="2"/>
    </row>
    <row r="351" ht="15.75" customHeight="1">
      <c r="A351" s="2"/>
      <c r="B351" s="2"/>
      <c r="C351" s="2"/>
      <c r="D351" s="2"/>
      <c r="E351" s="2"/>
      <c r="F351" s="2"/>
      <c r="G351" s="2"/>
      <c r="H351" s="2"/>
      <c r="I351" s="2"/>
    </row>
    <row r="352" ht="15.75" customHeight="1">
      <c r="A352" s="2"/>
      <c r="B352" s="2"/>
      <c r="C352" s="2"/>
      <c r="D352" s="2"/>
      <c r="E352" s="2"/>
      <c r="F352" s="2"/>
      <c r="G352" s="2"/>
      <c r="H352" s="2"/>
      <c r="I352" s="2"/>
    </row>
    <row r="353" ht="15.75" customHeight="1">
      <c r="A353" s="2"/>
      <c r="B353" s="2"/>
      <c r="C353" s="2"/>
      <c r="D353" s="2"/>
      <c r="E353" s="2"/>
      <c r="F353" s="2"/>
      <c r="G353" s="2"/>
      <c r="H353" s="2"/>
      <c r="I353" s="2"/>
    </row>
    <row r="354" ht="15.75" customHeight="1">
      <c r="A354" s="2"/>
      <c r="B354" s="2"/>
      <c r="C354" s="2"/>
      <c r="D354" s="2"/>
      <c r="E354" s="2"/>
      <c r="F354" s="2"/>
      <c r="G354" s="2"/>
      <c r="H354" s="2"/>
      <c r="I354" s="2"/>
    </row>
    <row r="355" ht="15.75" customHeight="1">
      <c r="A355" s="2"/>
      <c r="B355" s="2"/>
      <c r="C355" s="2"/>
      <c r="D355" s="2"/>
      <c r="E355" s="2"/>
      <c r="F355" s="2"/>
      <c r="G355" s="2"/>
      <c r="H355" s="2"/>
      <c r="I355" s="2"/>
    </row>
    <row r="356" ht="15.75" customHeight="1">
      <c r="A356" s="2"/>
      <c r="B356" s="2"/>
      <c r="C356" s="2"/>
      <c r="D356" s="2"/>
      <c r="E356" s="2"/>
      <c r="F356" s="2"/>
      <c r="G356" s="2"/>
      <c r="H356" s="2"/>
      <c r="I356" s="2"/>
    </row>
    <row r="357" ht="15.75" customHeight="1">
      <c r="A357" s="2"/>
      <c r="B357" s="2"/>
      <c r="C357" s="2"/>
      <c r="D357" s="2"/>
      <c r="E357" s="2"/>
      <c r="F357" s="2"/>
      <c r="G357" s="2"/>
      <c r="H357" s="2"/>
      <c r="I357" s="2"/>
    </row>
    <row r="358" ht="15.75" customHeight="1">
      <c r="A358" s="2"/>
      <c r="B358" s="2"/>
      <c r="C358" s="2"/>
      <c r="D358" s="2"/>
      <c r="E358" s="2"/>
      <c r="F358" s="2"/>
      <c r="G358" s="2"/>
      <c r="H358" s="2"/>
      <c r="I358" s="2"/>
    </row>
    <row r="359" ht="15.75" customHeight="1">
      <c r="A359" s="2"/>
      <c r="B359" s="2"/>
      <c r="C359" s="2"/>
      <c r="D359" s="2"/>
      <c r="E359" s="2"/>
      <c r="F359" s="2"/>
      <c r="G359" s="2"/>
      <c r="H359" s="2"/>
      <c r="I359" s="2"/>
    </row>
    <row r="360" ht="15.75" customHeight="1">
      <c r="A360" s="2"/>
      <c r="B360" s="2"/>
      <c r="C360" s="2"/>
      <c r="D360" s="2"/>
      <c r="E360" s="2"/>
      <c r="F360" s="2"/>
      <c r="G360" s="2"/>
      <c r="H360" s="2"/>
      <c r="I360" s="2"/>
    </row>
    <row r="361" ht="15.75" customHeight="1">
      <c r="A361" s="2"/>
      <c r="B361" s="2"/>
      <c r="C361" s="2"/>
      <c r="D361" s="2"/>
      <c r="E361" s="2"/>
      <c r="F361" s="2"/>
      <c r="G361" s="2"/>
      <c r="H361" s="2"/>
      <c r="I361" s="2"/>
    </row>
    <row r="362" ht="15.75" customHeight="1">
      <c r="A362" s="2"/>
      <c r="B362" s="2"/>
      <c r="C362" s="2"/>
      <c r="D362" s="2"/>
      <c r="E362" s="2"/>
      <c r="F362" s="2"/>
      <c r="G362" s="2"/>
      <c r="H362" s="2"/>
      <c r="I362" s="2"/>
    </row>
    <row r="363" ht="15.75" customHeight="1">
      <c r="A363" s="2"/>
      <c r="B363" s="2"/>
      <c r="C363" s="2"/>
      <c r="D363" s="2"/>
      <c r="E363" s="2"/>
      <c r="F363" s="2"/>
      <c r="G363" s="2"/>
      <c r="H363" s="2"/>
      <c r="I363" s="2"/>
    </row>
    <row r="364" ht="15.75" customHeight="1">
      <c r="A364" s="2"/>
      <c r="B364" s="2"/>
      <c r="C364" s="2"/>
      <c r="D364" s="2"/>
      <c r="E364" s="2"/>
      <c r="F364" s="2"/>
      <c r="G364" s="2"/>
      <c r="H364" s="2"/>
      <c r="I364" s="2"/>
    </row>
    <row r="365" ht="15.75" customHeight="1">
      <c r="A365" s="2"/>
      <c r="B365" s="2"/>
      <c r="C365" s="2"/>
      <c r="D365" s="2"/>
      <c r="E365" s="2"/>
      <c r="F365" s="2"/>
      <c r="G365" s="2"/>
      <c r="H365" s="2"/>
      <c r="I365" s="2"/>
    </row>
    <row r="366" ht="15.75" customHeight="1">
      <c r="A366" s="2"/>
      <c r="B366" s="2"/>
      <c r="C366" s="2"/>
      <c r="D366" s="2"/>
      <c r="E366" s="2"/>
      <c r="F366" s="2"/>
      <c r="G366" s="2"/>
      <c r="H366" s="2"/>
      <c r="I366" s="2"/>
    </row>
    <row r="367" ht="15.75" customHeight="1">
      <c r="A367" s="2"/>
      <c r="B367" s="2"/>
      <c r="C367" s="2"/>
      <c r="D367" s="2"/>
      <c r="E367" s="2"/>
      <c r="F367" s="2"/>
      <c r="G367" s="2"/>
      <c r="H367" s="2"/>
      <c r="I367" s="2"/>
    </row>
    <row r="368" ht="15.75" customHeight="1">
      <c r="A368" s="2"/>
      <c r="B368" s="2"/>
      <c r="C368" s="2"/>
      <c r="D368" s="2"/>
      <c r="E368" s="2"/>
      <c r="F368" s="2"/>
      <c r="G368" s="2"/>
      <c r="H368" s="2"/>
      <c r="I368" s="2"/>
    </row>
    <row r="369" ht="15.75" customHeight="1">
      <c r="A369" s="2"/>
      <c r="B369" s="2"/>
      <c r="C369" s="2"/>
      <c r="D369" s="2"/>
      <c r="E369" s="2"/>
      <c r="F369" s="2"/>
      <c r="G369" s="2"/>
      <c r="H369" s="2"/>
      <c r="I369" s="2"/>
    </row>
    <row r="370" ht="15.75" customHeight="1">
      <c r="A370" s="2"/>
      <c r="B370" s="2"/>
      <c r="C370" s="2"/>
      <c r="D370" s="2"/>
      <c r="E370" s="2"/>
      <c r="F370" s="2"/>
      <c r="G370" s="2"/>
      <c r="H370" s="2"/>
      <c r="I370" s="2"/>
    </row>
    <row r="371" ht="15.75" customHeight="1">
      <c r="A371" s="2"/>
      <c r="B371" s="2"/>
      <c r="C371" s="2"/>
      <c r="D371" s="2"/>
      <c r="E371" s="2"/>
      <c r="F371" s="2"/>
      <c r="G371" s="2"/>
      <c r="H371" s="2"/>
      <c r="I371" s="2"/>
    </row>
    <row r="372" ht="15.75" customHeight="1">
      <c r="A372" s="2"/>
      <c r="B372" s="2"/>
      <c r="C372" s="2"/>
      <c r="D372" s="2"/>
      <c r="E372" s="2"/>
      <c r="F372" s="2"/>
      <c r="G372" s="2"/>
      <c r="H372" s="2"/>
      <c r="I372" s="2"/>
    </row>
    <row r="373" ht="15.75" customHeight="1">
      <c r="A373" s="2"/>
      <c r="B373" s="2"/>
      <c r="C373" s="2"/>
      <c r="D373" s="2"/>
      <c r="E373" s="2"/>
      <c r="F373" s="2"/>
      <c r="G373" s="2"/>
      <c r="H373" s="2"/>
      <c r="I373" s="2"/>
    </row>
    <row r="374" ht="15.75" customHeight="1">
      <c r="A374" s="2"/>
      <c r="B374" s="2"/>
      <c r="C374" s="2"/>
      <c r="D374" s="2"/>
      <c r="E374" s="2"/>
      <c r="F374" s="2"/>
      <c r="G374" s="2"/>
      <c r="H374" s="2"/>
      <c r="I374" s="2"/>
    </row>
    <row r="375" ht="15.75" customHeight="1">
      <c r="A375" s="2"/>
      <c r="B375" s="2"/>
      <c r="C375" s="2"/>
      <c r="D375" s="2"/>
      <c r="E375" s="2"/>
      <c r="F375" s="2"/>
      <c r="G375" s="2"/>
      <c r="H375" s="2"/>
      <c r="I375" s="2"/>
    </row>
    <row r="376" ht="15.75" customHeight="1">
      <c r="A376" s="2"/>
      <c r="B376" s="2"/>
      <c r="C376" s="2"/>
      <c r="D376" s="2"/>
      <c r="E376" s="2"/>
      <c r="F376" s="2"/>
      <c r="G376" s="2"/>
      <c r="H376" s="2"/>
      <c r="I376" s="2"/>
    </row>
    <row r="377" ht="15.75" customHeight="1">
      <c r="A377" s="2"/>
      <c r="B377" s="2"/>
      <c r="C377" s="2"/>
      <c r="D377" s="2"/>
      <c r="E377" s="2"/>
      <c r="F377" s="2"/>
      <c r="G377" s="2"/>
      <c r="H377" s="2"/>
      <c r="I377" s="2"/>
    </row>
    <row r="378" ht="15.75" customHeight="1">
      <c r="A378" s="2"/>
      <c r="B378" s="2"/>
      <c r="C378" s="2"/>
      <c r="D378" s="2"/>
      <c r="E378" s="2"/>
      <c r="F378" s="2"/>
      <c r="G378" s="2"/>
      <c r="H378" s="2"/>
      <c r="I378" s="2"/>
    </row>
    <row r="379" ht="15.75" customHeight="1">
      <c r="A379" s="2"/>
      <c r="B379" s="2"/>
      <c r="C379" s="2"/>
      <c r="D379" s="2"/>
      <c r="E379" s="2"/>
      <c r="F379" s="2"/>
      <c r="G379" s="2"/>
      <c r="H379" s="2"/>
      <c r="I379" s="2"/>
    </row>
    <row r="380" ht="15.75" customHeight="1">
      <c r="A380" s="2"/>
      <c r="B380" s="2"/>
      <c r="C380" s="2"/>
      <c r="D380" s="2"/>
      <c r="E380" s="2"/>
      <c r="F380" s="2"/>
      <c r="G380" s="2"/>
      <c r="H380" s="2"/>
      <c r="I380" s="2"/>
    </row>
    <row r="381" ht="15.75" customHeight="1">
      <c r="A381" s="2"/>
      <c r="B381" s="2"/>
      <c r="C381" s="2"/>
      <c r="D381" s="2"/>
      <c r="E381" s="2"/>
      <c r="F381" s="2"/>
      <c r="G381" s="2"/>
      <c r="H381" s="2"/>
      <c r="I381" s="2"/>
    </row>
    <row r="382" ht="15.75" customHeight="1">
      <c r="A382" s="2"/>
      <c r="B382" s="2"/>
      <c r="C382" s="2"/>
      <c r="D382" s="2"/>
      <c r="E382" s="2"/>
      <c r="F382" s="2"/>
      <c r="G382" s="2"/>
      <c r="H382" s="2"/>
      <c r="I382" s="2"/>
    </row>
    <row r="383" ht="15.75" customHeight="1">
      <c r="A383" s="2"/>
      <c r="B383" s="2"/>
      <c r="C383" s="2"/>
      <c r="D383" s="2"/>
      <c r="E383" s="2"/>
      <c r="F383" s="2"/>
      <c r="G383" s="2"/>
      <c r="H383" s="2"/>
      <c r="I383" s="2"/>
    </row>
    <row r="384" ht="15.75" customHeight="1">
      <c r="A384" s="2"/>
      <c r="B384" s="2"/>
      <c r="C384" s="2"/>
      <c r="D384" s="2"/>
      <c r="E384" s="2"/>
      <c r="F384" s="2"/>
      <c r="G384" s="2"/>
      <c r="H384" s="2"/>
      <c r="I384" s="2"/>
    </row>
    <row r="385" ht="15.75" customHeight="1">
      <c r="A385" s="2"/>
      <c r="B385" s="2"/>
      <c r="C385" s="2"/>
      <c r="D385" s="2"/>
      <c r="E385" s="2"/>
      <c r="F385" s="2"/>
      <c r="G385" s="2"/>
      <c r="H385" s="2"/>
      <c r="I385" s="2"/>
    </row>
    <row r="386" ht="15.75" customHeight="1">
      <c r="A386" s="2"/>
      <c r="B386" s="2"/>
      <c r="C386" s="2"/>
      <c r="D386" s="2"/>
      <c r="E386" s="2"/>
      <c r="F386" s="2"/>
      <c r="G386" s="2"/>
      <c r="H386" s="2"/>
      <c r="I386" s="2"/>
    </row>
    <row r="387" ht="15.75" customHeight="1">
      <c r="A387" s="2"/>
      <c r="B387" s="2"/>
      <c r="C387" s="2"/>
      <c r="D387" s="2"/>
      <c r="E387" s="2"/>
      <c r="F387" s="2"/>
      <c r="G387" s="2"/>
      <c r="H387" s="2"/>
      <c r="I387" s="2"/>
    </row>
    <row r="388" ht="15.75" customHeight="1">
      <c r="A388" s="2"/>
      <c r="B388" s="2"/>
      <c r="C388" s="2"/>
      <c r="D388" s="2"/>
      <c r="E388" s="2"/>
      <c r="F388" s="2"/>
      <c r="G388" s="2"/>
      <c r="H388" s="2"/>
      <c r="I388" s="2"/>
    </row>
    <row r="389" ht="15.75" customHeight="1">
      <c r="A389" s="2"/>
      <c r="B389" s="2"/>
      <c r="C389" s="2"/>
      <c r="D389" s="2"/>
      <c r="E389" s="2"/>
      <c r="F389" s="2"/>
      <c r="G389" s="2"/>
      <c r="H389" s="2"/>
      <c r="I389" s="2"/>
    </row>
    <row r="390" ht="15.75" customHeight="1">
      <c r="A390" s="2"/>
      <c r="B390" s="2"/>
      <c r="C390" s="2"/>
      <c r="D390" s="2"/>
      <c r="E390" s="2"/>
      <c r="F390" s="2"/>
      <c r="G390" s="2"/>
      <c r="H390" s="2"/>
      <c r="I390" s="2"/>
    </row>
    <row r="391" ht="15.75" customHeight="1">
      <c r="A391" s="2"/>
      <c r="B391" s="2"/>
      <c r="C391" s="2"/>
      <c r="D391" s="2"/>
      <c r="E391" s="2"/>
      <c r="F391" s="2"/>
      <c r="G391" s="2"/>
      <c r="H391" s="2"/>
      <c r="I391" s="2"/>
    </row>
    <row r="392" ht="15.75" customHeight="1">
      <c r="A392" s="2"/>
      <c r="B392" s="2"/>
      <c r="C392" s="2"/>
      <c r="D392" s="2"/>
      <c r="E392" s="2"/>
      <c r="F392" s="2"/>
      <c r="G392" s="2"/>
      <c r="H392" s="2"/>
      <c r="I392" s="2"/>
    </row>
    <row r="393" ht="15.75" customHeight="1">
      <c r="A393" s="2"/>
      <c r="B393" s="2"/>
      <c r="C393" s="2"/>
      <c r="D393" s="2"/>
      <c r="E393" s="2"/>
      <c r="F393" s="2"/>
      <c r="G393" s="2"/>
      <c r="H393" s="2"/>
      <c r="I393" s="2"/>
    </row>
    <row r="394" ht="15.75" customHeight="1">
      <c r="A394" s="2"/>
      <c r="B394" s="2"/>
      <c r="C394" s="2"/>
      <c r="D394" s="2"/>
      <c r="E394" s="2"/>
      <c r="F394" s="2"/>
      <c r="G394" s="2"/>
      <c r="H394" s="2"/>
      <c r="I394" s="2"/>
    </row>
    <row r="395" ht="15.75" customHeight="1">
      <c r="A395" s="2"/>
      <c r="B395" s="2"/>
      <c r="C395" s="2"/>
      <c r="D395" s="2"/>
      <c r="E395" s="2"/>
      <c r="F395" s="2"/>
      <c r="G395" s="2"/>
      <c r="H395" s="2"/>
      <c r="I395" s="2"/>
    </row>
    <row r="396" ht="15.75" customHeight="1">
      <c r="A396" s="2"/>
      <c r="B396" s="2"/>
      <c r="C396" s="2"/>
      <c r="D396" s="2"/>
      <c r="E396" s="2"/>
      <c r="F396" s="2"/>
      <c r="G396" s="2"/>
      <c r="H396" s="2"/>
      <c r="I396" s="2"/>
    </row>
    <row r="397" ht="15.75" customHeight="1">
      <c r="A397" s="2"/>
      <c r="B397" s="2"/>
      <c r="C397" s="2"/>
      <c r="D397" s="2"/>
      <c r="E397" s="2"/>
      <c r="F397" s="2"/>
      <c r="G397" s="2"/>
      <c r="H397" s="2"/>
      <c r="I397" s="2"/>
    </row>
    <row r="398" ht="15.75" customHeight="1">
      <c r="A398" s="2"/>
      <c r="B398" s="2"/>
      <c r="C398" s="2"/>
      <c r="D398" s="2"/>
      <c r="E398" s="2"/>
      <c r="F398" s="2"/>
      <c r="G398" s="2"/>
      <c r="H398" s="2"/>
      <c r="I398" s="2"/>
    </row>
    <row r="399" ht="15.75" customHeight="1">
      <c r="A399" s="2"/>
      <c r="B399" s="2"/>
      <c r="C399" s="2"/>
      <c r="D399" s="2"/>
      <c r="E399" s="2"/>
      <c r="F399" s="2"/>
      <c r="G399" s="2"/>
      <c r="H399" s="2"/>
      <c r="I399" s="2"/>
    </row>
    <row r="400" ht="15.75" customHeight="1">
      <c r="A400" s="2"/>
      <c r="B400" s="2"/>
      <c r="C400" s="2"/>
      <c r="D400" s="2"/>
      <c r="E400" s="2"/>
      <c r="F400" s="2"/>
      <c r="G400" s="2"/>
      <c r="H400" s="2"/>
      <c r="I400" s="2"/>
    </row>
    <row r="401" ht="15.75" customHeight="1">
      <c r="A401" s="2"/>
      <c r="B401" s="2"/>
      <c r="C401" s="2"/>
      <c r="D401" s="2"/>
      <c r="E401" s="2"/>
      <c r="F401" s="2"/>
      <c r="G401" s="2"/>
      <c r="H401" s="2"/>
      <c r="I401" s="2"/>
    </row>
    <row r="402" ht="15.75" customHeight="1">
      <c r="A402" s="2"/>
      <c r="B402" s="2"/>
      <c r="C402" s="2"/>
      <c r="D402" s="2"/>
      <c r="E402" s="2"/>
      <c r="F402" s="2"/>
      <c r="G402" s="2"/>
      <c r="H402" s="2"/>
      <c r="I402" s="2"/>
    </row>
    <row r="403" ht="15.75" customHeight="1">
      <c r="A403" s="2"/>
      <c r="B403" s="2"/>
      <c r="C403" s="2"/>
      <c r="D403" s="2"/>
      <c r="E403" s="2"/>
      <c r="F403" s="2"/>
      <c r="G403" s="2"/>
      <c r="H403" s="2"/>
      <c r="I403" s="2"/>
    </row>
    <row r="404" ht="15.75" customHeight="1">
      <c r="A404" s="2"/>
      <c r="B404" s="2"/>
      <c r="C404" s="2"/>
      <c r="D404" s="2"/>
      <c r="E404" s="2"/>
      <c r="F404" s="2"/>
      <c r="G404" s="2"/>
      <c r="H404" s="2"/>
      <c r="I404" s="2"/>
    </row>
    <row r="405" ht="15.75" customHeight="1">
      <c r="A405" s="2"/>
      <c r="B405" s="2"/>
      <c r="C405" s="2"/>
      <c r="D405" s="2"/>
      <c r="E405" s="2"/>
      <c r="F405" s="2"/>
      <c r="G405" s="2"/>
      <c r="H405" s="2"/>
      <c r="I405" s="2"/>
    </row>
    <row r="406" ht="15.75" customHeight="1">
      <c r="A406" s="2"/>
      <c r="B406" s="2"/>
      <c r="C406" s="2"/>
      <c r="D406" s="2"/>
      <c r="E406" s="2"/>
      <c r="F406" s="2"/>
      <c r="G406" s="2"/>
      <c r="H406" s="2"/>
      <c r="I406" s="2"/>
    </row>
    <row r="407" ht="15.75" customHeight="1">
      <c r="A407" s="2"/>
      <c r="B407" s="2"/>
      <c r="C407" s="2"/>
      <c r="D407" s="2"/>
      <c r="E407" s="2"/>
      <c r="F407" s="2"/>
      <c r="G407" s="2"/>
      <c r="H407" s="2"/>
      <c r="I407" s="2"/>
    </row>
    <row r="408" ht="15.75" customHeight="1">
      <c r="A408" s="2"/>
      <c r="B408" s="2"/>
      <c r="C408" s="2"/>
      <c r="D408" s="2"/>
      <c r="E408" s="2"/>
      <c r="F408" s="2"/>
      <c r="G408" s="2"/>
      <c r="H408" s="2"/>
      <c r="I408" s="2"/>
    </row>
    <row r="409" ht="15.75" customHeight="1">
      <c r="A409" s="2"/>
      <c r="B409" s="2"/>
      <c r="C409" s="2"/>
      <c r="D409" s="2"/>
      <c r="E409" s="2"/>
      <c r="F409" s="2"/>
      <c r="G409" s="2"/>
      <c r="H409" s="2"/>
      <c r="I409" s="2"/>
    </row>
    <row r="410" ht="15.75" customHeight="1">
      <c r="A410" s="2"/>
      <c r="B410" s="2"/>
      <c r="C410" s="2"/>
      <c r="D410" s="2"/>
      <c r="E410" s="2"/>
      <c r="F410" s="2"/>
      <c r="G410" s="2"/>
      <c r="H410" s="2"/>
      <c r="I410" s="2"/>
    </row>
    <row r="411" ht="15.75" customHeight="1">
      <c r="A411" s="2"/>
      <c r="B411" s="2"/>
      <c r="C411" s="2"/>
      <c r="D411" s="2"/>
      <c r="E411" s="2"/>
      <c r="F411" s="2"/>
      <c r="G411" s="2"/>
      <c r="H411" s="2"/>
      <c r="I411" s="2"/>
    </row>
    <row r="412" ht="15.75" customHeight="1">
      <c r="A412" s="2"/>
      <c r="B412" s="2"/>
      <c r="C412" s="2"/>
      <c r="D412" s="2"/>
      <c r="E412" s="2"/>
      <c r="F412" s="2"/>
      <c r="G412" s="2"/>
      <c r="H412" s="2"/>
      <c r="I412" s="2"/>
    </row>
    <row r="413" ht="15.75" customHeight="1">
      <c r="A413" s="2"/>
      <c r="B413" s="2"/>
      <c r="C413" s="2"/>
      <c r="D413" s="2"/>
      <c r="E413" s="2"/>
      <c r="F413" s="2"/>
      <c r="G413" s="2"/>
      <c r="H413" s="2"/>
      <c r="I413" s="2"/>
    </row>
    <row r="414" ht="15.75" customHeight="1">
      <c r="A414" s="2"/>
      <c r="B414" s="2"/>
      <c r="C414" s="2"/>
      <c r="D414" s="2"/>
      <c r="E414" s="2"/>
      <c r="F414" s="2"/>
      <c r="G414" s="2"/>
      <c r="H414" s="2"/>
      <c r="I414" s="2"/>
    </row>
    <row r="415" ht="15.75" customHeight="1">
      <c r="A415" s="2"/>
      <c r="B415" s="2"/>
      <c r="C415" s="2"/>
      <c r="D415" s="2"/>
      <c r="E415" s="2"/>
      <c r="F415" s="2"/>
      <c r="G415" s="2"/>
      <c r="H415" s="2"/>
      <c r="I415" s="2"/>
    </row>
    <row r="416" ht="15.75" customHeight="1">
      <c r="A416" s="2"/>
      <c r="B416" s="2"/>
      <c r="C416" s="2"/>
      <c r="D416" s="2"/>
      <c r="E416" s="2"/>
      <c r="F416" s="2"/>
      <c r="G416" s="2"/>
      <c r="H416" s="2"/>
      <c r="I416" s="2"/>
    </row>
    <row r="417" ht="15.75" customHeight="1">
      <c r="A417" s="2"/>
      <c r="B417" s="2"/>
      <c r="C417" s="2"/>
      <c r="D417" s="2"/>
      <c r="E417" s="2"/>
      <c r="F417" s="2"/>
      <c r="G417" s="2"/>
      <c r="H417" s="2"/>
      <c r="I417" s="2"/>
    </row>
    <row r="418" ht="15.75" customHeight="1">
      <c r="A418" s="2"/>
      <c r="B418" s="2"/>
      <c r="C418" s="2"/>
      <c r="D418" s="2"/>
      <c r="E418" s="2"/>
      <c r="F418" s="2"/>
      <c r="G418" s="2"/>
      <c r="H418" s="2"/>
      <c r="I418" s="2"/>
    </row>
    <row r="419" ht="15.75" customHeight="1">
      <c r="A419" s="2"/>
      <c r="B419" s="2"/>
      <c r="C419" s="2"/>
      <c r="D419" s="2"/>
      <c r="E419" s="2"/>
      <c r="F419" s="2"/>
      <c r="G419" s="2"/>
      <c r="H419" s="2"/>
      <c r="I419" s="2"/>
    </row>
    <row r="420" ht="15.75" customHeight="1">
      <c r="A420" s="2"/>
      <c r="B420" s="2"/>
      <c r="C420" s="2"/>
      <c r="D420" s="2"/>
      <c r="E420" s="2"/>
      <c r="F420" s="2"/>
      <c r="G420" s="2"/>
      <c r="H420" s="2"/>
      <c r="I420" s="2"/>
    </row>
    <row r="421" ht="15.75" customHeight="1">
      <c r="A421" s="2"/>
      <c r="B421" s="2"/>
      <c r="C421" s="2"/>
      <c r="D421" s="2"/>
      <c r="E421" s="2"/>
      <c r="F421" s="2"/>
      <c r="G421" s="2"/>
      <c r="H421" s="2"/>
      <c r="I421" s="2"/>
    </row>
    <row r="422" ht="15.75" customHeight="1">
      <c r="A422" s="2"/>
      <c r="B422" s="2"/>
      <c r="C422" s="2"/>
      <c r="D422" s="2"/>
      <c r="E422" s="2"/>
      <c r="F422" s="2"/>
      <c r="G422" s="2"/>
      <c r="H422" s="2"/>
      <c r="I422" s="2"/>
    </row>
    <row r="423" ht="15.75" customHeight="1">
      <c r="A423" s="2"/>
      <c r="B423" s="2"/>
      <c r="C423" s="2"/>
      <c r="D423" s="2"/>
      <c r="E423" s="2"/>
      <c r="F423" s="2"/>
      <c r="G423" s="2"/>
      <c r="H423" s="2"/>
      <c r="I423" s="2"/>
    </row>
    <row r="424" ht="15.75" customHeight="1">
      <c r="A424" s="2"/>
      <c r="B424" s="2"/>
      <c r="C424" s="2"/>
      <c r="D424" s="2"/>
      <c r="E424" s="2"/>
      <c r="F424" s="2"/>
      <c r="G424" s="2"/>
      <c r="H424" s="2"/>
      <c r="I424" s="2"/>
    </row>
    <row r="425" ht="15.75" customHeight="1">
      <c r="A425" s="2"/>
      <c r="B425" s="2"/>
      <c r="C425" s="2"/>
      <c r="D425" s="2"/>
      <c r="E425" s="2"/>
      <c r="F425" s="2"/>
      <c r="G425" s="2"/>
      <c r="H425" s="2"/>
      <c r="I425" s="2"/>
    </row>
    <row r="426" ht="15.75" customHeight="1">
      <c r="A426" s="2"/>
      <c r="B426" s="2"/>
      <c r="C426" s="2"/>
      <c r="D426" s="2"/>
      <c r="E426" s="2"/>
      <c r="F426" s="2"/>
      <c r="G426" s="2"/>
      <c r="H426" s="2"/>
      <c r="I426" s="2"/>
    </row>
    <row r="427" ht="15.75" customHeight="1">
      <c r="A427" s="2"/>
      <c r="B427" s="2"/>
      <c r="C427" s="2"/>
      <c r="D427" s="2"/>
      <c r="E427" s="2"/>
      <c r="F427" s="2"/>
      <c r="G427" s="2"/>
      <c r="H427" s="2"/>
      <c r="I427" s="2"/>
    </row>
    <row r="428" ht="15.75" customHeight="1">
      <c r="A428" s="2"/>
      <c r="B428" s="2"/>
      <c r="C428" s="2"/>
      <c r="D428" s="2"/>
      <c r="E428" s="2"/>
      <c r="F428" s="2"/>
      <c r="G428" s="2"/>
      <c r="H428" s="2"/>
      <c r="I428" s="2"/>
    </row>
    <row r="429" ht="15.75" customHeight="1">
      <c r="A429" s="2"/>
      <c r="B429" s="2"/>
      <c r="C429" s="2"/>
      <c r="D429" s="2"/>
      <c r="E429" s="2"/>
      <c r="F429" s="2"/>
      <c r="G429" s="2"/>
      <c r="H429" s="2"/>
      <c r="I429" s="2"/>
    </row>
    <row r="430" ht="15.75" customHeight="1">
      <c r="A430" s="2"/>
      <c r="B430" s="2"/>
      <c r="C430" s="2"/>
      <c r="D430" s="2"/>
      <c r="E430" s="2"/>
      <c r="F430" s="2"/>
      <c r="G430" s="2"/>
      <c r="H430" s="2"/>
      <c r="I430" s="2"/>
    </row>
    <row r="431" ht="15.75" customHeight="1">
      <c r="A431" s="2"/>
      <c r="B431" s="2"/>
      <c r="C431" s="2"/>
      <c r="D431" s="2"/>
      <c r="E431" s="2"/>
      <c r="F431" s="2"/>
      <c r="G431" s="2"/>
      <c r="H431" s="2"/>
      <c r="I431" s="2"/>
    </row>
    <row r="432" ht="15.75" customHeight="1">
      <c r="A432" s="2"/>
      <c r="B432" s="2"/>
      <c r="C432" s="2"/>
      <c r="D432" s="2"/>
      <c r="E432" s="2"/>
      <c r="F432" s="2"/>
      <c r="G432" s="2"/>
      <c r="H432" s="2"/>
      <c r="I432" s="2"/>
    </row>
    <row r="433" ht="15.75" customHeight="1">
      <c r="A433" s="2"/>
      <c r="B433" s="2"/>
      <c r="C433" s="2"/>
      <c r="D433" s="2"/>
      <c r="E433" s="2"/>
      <c r="F433" s="2"/>
      <c r="G433" s="2"/>
      <c r="H433" s="2"/>
      <c r="I433" s="2"/>
    </row>
    <row r="434" ht="15.75" customHeight="1">
      <c r="A434" s="2"/>
      <c r="B434" s="2"/>
      <c r="C434" s="2"/>
      <c r="D434" s="2"/>
      <c r="E434" s="2"/>
      <c r="F434" s="2"/>
      <c r="G434" s="2"/>
      <c r="H434" s="2"/>
      <c r="I434" s="2"/>
    </row>
    <row r="435" ht="15.75" customHeight="1">
      <c r="A435" s="2"/>
      <c r="B435" s="2"/>
      <c r="C435" s="2"/>
      <c r="D435" s="2"/>
      <c r="E435" s="2"/>
      <c r="F435" s="2"/>
      <c r="G435" s="2"/>
      <c r="H435" s="2"/>
      <c r="I435" s="2"/>
    </row>
    <row r="436" ht="15.75" customHeight="1">
      <c r="A436" s="2"/>
      <c r="B436" s="2"/>
      <c r="C436" s="2"/>
      <c r="D436" s="2"/>
      <c r="E436" s="2"/>
      <c r="F436" s="2"/>
      <c r="G436" s="2"/>
      <c r="H436" s="2"/>
      <c r="I436" s="2"/>
    </row>
    <row r="437" ht="15.75" customHeight="1">
      <c r="A437" s="2"/>
      <c r="B437" s="2"/>
      <c r="C437" s="2"/>
      <c r="D437" s="2"/>
      <c r="E437" s="2"/>
      <c r="F437" s="2"/>
      <c r="G437" s="2"/>
      <c r="H437" s="2"/>
      <c r="I437" s="2"/>
    </row>
    <row r="438" ht="15.75" customHeight="1">
      <c r="A438" s="2"/>
      <c r="B438" s="2"/>
      <c r="C438" s="2"/>
      <c r="D438" s="2"/>
      <c r="E438" s="2"/>
      <c r="F438" s="2"/>
      <c r="G438" s="2"/>
      <c r="H438" s="2"/>
      <c r="I438" s="2"/>
    </row>
    <row r="439" ht="15.75" customHeight="1">
      <c r="A439" s="2"/>
      <c r="B439" s="2"/>
      <c r="C439" s="2"/>
      <c r="D439" s="2"/>
      <c r="E439" s="2"/>
      <c r="F439" s="2"/>
      <c r="G439" s="2"/>
      <c r="H439" s="2"/>
      <c r="I439" s="2"/>
    </row>
    <row r="440" ht="15.75" customHeight="1">
      <c r="A440" s="2"/>
      <c r="B440" s="2"/>
      <c r="C440" s="2"/>
      <c r="D440" s="2"/>
      <c r="E440" s="2"/>
      <c r="F440" s="2"/>
      <c r="G440" s="2"/>
      <c r="H440" s="2"/>
      <c r="I440" s="2"/>
    </row>
    <row r="441" ht="15.75" customHeight="1">
      <c r="A441" s="2"/>
      <c r="B441" s="2"/>
      <c r="C441" s="2"/>
      <c r="D441" s="2"/>
      <c r="E441" s="2"/>
      <c r="F441" s="2"/>
      <c r="G441" s="2"/>
      <c r="H441" s="2"/>
      <c r="I441" s="2"/>
    </row>
    <row r="442" ht="15.75" customHeight="1">
      <c r="A442" s="2"/>
      <c r="B442" s="2"/>
      <c r="C442" s="2"/>
      <c r="D442" s="2"/>
      <c r="E442" s="2"/>
      <c r="F442" s="2"/>
      <c r="G442" s="2"/>
      <c r="H442" s="2"/>
      <c r="I442" s="2"/>
    </row>
    <row r="443" ht="15.75" customHeight="1">
      <c r="A443" s="2"/>
      <c r="B443" s="2"/>
      <c r="C443" s="2"/>
      <c r="D443" s="2"/>
      <c r="E443" s="2"/>
      <c r="F443" s="2"/>
      <c r="G443" s="2"/>
      <c r="H443" s="2"/>
      <c r="I443" s="2"/>
    </row>
    <row r="444" ht="15.75" customHeight="1">
      <c r="A444" s="2"/>
      <c r="B444" s="2"/>
      <c r="C444" s="2"/>
      <c r="D444" s="2"/>
      <c r="E444" s="2"/>
      <c r="F444" s="2"/>
      <c r="G444" s="2"/>
      <c r="H444" s="2"/>
      <c r="I444" s="2"/>
    </row>
    <row r="445" ht="15.75" customHeight="1">
      <c r="A445" s="2"/>
      <c r="B445" s="2"/>
      <c r="C445" s="2"/>
      <c r="D445" s="2"/>
      <c r="E445" s="2"/>
      <c r="F445" s="2"/>
      <c r="G445" s="2"/>
      <c r="H445" s="2"/>
      <c r="I445" s="2"/>
    </row>
    <row r="446" ht="15.75" customHeight="1">
      <c r="A446" s="2"/>
      <c r="B446" s="2"/>
      <c r="C446" s="2"/>
      <c r="D446" s="2"/>
      <c r="E446" s="2"/>
      <c r="F446" s="2"/>
      <c r="G446" s="2"/>
      <c r="H446" s="2"/>
      <c r="I446" s="2"/>
    </row>
    <row r="447" ht="15.75" customHeight="1">
      <c r="A447" s="2"/>
      <c r="B447" s="2"/>
      <c r="C447" s="2"/>
      <c r="D447" s="2"/>
      <c r="E447" s="2"/>
      <c r="F447" s="2"/>
      <c r="G447" s="2"/>
      <c r="H447" s="2"/>
      <c r="I447" s="2"/>
    </row>
    <row r="448" ht="15.75" customHeight="1">
      <c r="A448" s="2"/>
      <c r="B448" s="2"/>
      <c r="C448" s="2"/>
      <c r="D448" s="2"/>
      <c r="E448" s="2"/>
      <c r="F448" s="2"/>
      <c r="G448" s="2"/>
      <c r="H448" s="2"/>
      <c r="I448" s="2"/>
    </row>
    <row r="449" ht="15.75" customHeight="1">
      <c r="A449" s="2"/>
      <c r="B449" s="2"/>
      <c r="C449" s="2"/>
      <c r="D449" s="2"/>
      <c r="E449" s="2"/>
      <c r="F449" s="2"/>
      <c r="G449" s="2"/>
      <c r="H449" s="2"/>
      <c r="I449" s="2"/>
    </row>
    <row r="450" ht="15.75" customHeight="1">
      <c r="A450" s="2"/>
      <c r="B450" s="2"/>
      <c r="C450" s="2"/>
      <c r="D450" s="2"/>
      <c r="E450" s="2"/>
      <c r="F450" s="2"/>
      <c r="G450" s="2"/>
      <c r="H450" s="2"/>
      <c r="I450" s="2"/>
    </row>
    <row r="451" ht="15.75" customHeight="1">
      <c r="A451" s="2"/>
      <c r="B451" s="2"/>
      <c r="C451" s="2"/>
      <c r="D451" s="2"/>
      <c r="E451" s="2"/>
      <c r="F451" s="2"/>
      <c r="G451" s="2"/>
      <c r="H451" s="2"/>
      <c r="I451" s="2"/>
    </row>
    <row r="452" ht="15.75" customHeight="1">
      <c r="A452" s="2"/>
      <c r="B452" s="2"/>
      <c r="C452" s="2"/>
      <c r="D452" s="2"/>
      <c r="E452" s="2"/>
      <c r="F452" s="2"/>
      <c r="G452" s="2"/>
      <c r="H452" s="2"/>
      <c r="I452" s="2"/>
    </row>
    <row r="453" ht="15.75" customHeight="1">
      <c r="A453" s="2"/>
      <c r="B453" s="2"/>
      <c r="C453" s="2"/>
      <c r="D453" s="2"/>
      <c r="E453" s="2"/>
      <c r="F453" s="2"/>
      <c r="G453" s="2"/>
      <c r="H453" s="2"/>
      <c r="I453" s="2"/>
    </row>
    <row r="454" ht="15.75" customHeight="1">
      <c r="A454" s="2"/>
      <c r="B454" s="2"/>
      <c r="C454" s="2"/>
      <c r="D454" s="2"/>
      <c r="E454" s="2"/>
      <c r="F454" s="2"/>
      <c r="G454" s="2"/>
      <c r="H454" s="2"/>
      <c r="I454" s="2"/>
    </row>
    <row r="455" ht="15.75" customHeight="1">
      <c r="A455" s="2"/>
      <c r="B455" s="2"/>
      <c r="C455" s="2"/>
      <c r="D455" s="2"/>
      <c r="E455" s="2"/>
      <c r="F455" s="2"/>
      <c r="G455" s="2"/>
      <c r="H455" s="2"/>
      <c r="I455" s="2"/>
    </row>
    <row r="456" ht="15.75" customHeight="1">
      <c r="A456" s="2"/>
      <c r="B456" s="2"/>
      <c r="C456" s="2"/>
      <c r="D456" s="2"/>
      <c r="E456" s="2"/>
      <c r="F456" s="2"/>
      <c r="G456" s="2"/>
      <c r="H456" s="2"/>
      <c r="I456" s="2"/>
    </row>
    <row r="457" ht="15.75" customHeight="1">
      <c r="A457" s="2"/>
      <c r="B457" s="2"/>
      <c r="C457" s="2"/>
      <c r="D457" s="2"/>
      <c r="E457" s="2"/>
      <c r="F457" s="2"/>
      <c r="G457" s="2"/>
      <c r="H457" s="2"/>
      <c r="I457" s="2"/>
    </row>
    <row r="458" ht="15.75" customHeight="1">
      <c r="A458" s="2"/>
      <c r="B458" s="2"/>
      <c r="C458" s="2"/>
      <c r="D458" s="2"/>
      <c r="E458" s="2"/>
      <c r="F458" s="2"/>
      <c r="G458" s="2"/>
      <c r="H458" s="2"/>
      <c r="I458" s="2"/>
    </row>
    <row r="459" ht="15.75" customHeight="1">
      <c r="A459" s="2"/>
      <c r="B459" s="2"/>
      <c r="C459" s="2"/>
      <c r="D459" s="2"/>
      <c r="E459" s="2"/>
      <c r="F459" s="2"/>
      <c r="G459" s="2"/>
      <c r="H459" s="2"/>
      <c r="I459" s="2"/>
    </row>
    <row r="460" ht="15.75" customHeight="1">
      <c r="A460" s="2"/>
      <c r="B460" s="2"/>
      <c r="C460" s="2"/>
      <c r="D460" s="2"/>
      <c r="E460" s="2"/>
      <c r="F460" s="2"/>
      <c r="G460" s="2"/>
      <c r="H460" s="2"/>
      <c r="I460" s="2"/>
    </row>
    <row r="461" ht="15.75" customHeight="1">
      <c r="A461" s="2"/>
      <c r="B461" s="2"/>
      <c r="C461" s="2"/>
      <c r="D461" s="2"/>
      <c r="E461" s="2"/>
      <c r="F461" s="2"/>
      <c r="G461" s="2"/>
      <c r="H461" s="2"/>
      <c r="I461" s="2"/>
    </row>
    <row r="462" ht="15.75" customHeight="1">
      <c r="A462" s="2"/>
      <c r="B462" s="2"/>
      <c r="C462" s="2"/>
      <c r="D462" s="2"/>
      <c r="E462" s="2"/>
      <c r="F462" s="2"/>
      <c r="G462" s="2"/>
      <c r="H462" s="2"/>
      <c r="I462" s="2"/>
    </row>
    <row r="463" ht="15.75" customHeight="1">
      <c r="A463" s="2"/>
      <c r="B463" s="2"/>
      <c r="C463" s="2"/>
      <c r="D463" s="2"/>
      <c r="E463" s="2"/>
      <c r="F463" s="2"/>
      <c r="G463" s="2"/>
      <c r="H463" s="2"/>
      <c r="I463" s="2"/>
    </row>
    <row r="464" ht="15.75" customHeight="1">
      <c r="A464" s="2"/>
      <c r="B464" s="2"/>
      <c r="C464" s="2"/>
      <c r="D464" s="2"/>
      <c r="E464" s="2"/>
      <c r="F464" s="2"/>
      <c r="G464" s="2"/>
      <c r="H464" s="2"/>
      <c r="I464" s="2"/>
    </row>
    <row r="465" ht="15.75" customHeight="1">
      <c r="A465" s="2"/>
      <c r="B465" s="2"/>
      <c r="C465" s="2"/>
      <c r="D465" s="2"/>
      <c r="E465" s="2"/>
      <c r="F465" s="2"/>
      <c r="G465" s="2"/>
      <c r="H465" s="2"/>
      <c r="I465" s="2"/>
    </row>
    <row r="466" ht="15.75" customHeight="1">
      <c r="A466" s="2"/>
      <c r="B466" s="2"/>
      <c r="C466" s="2"/>
      <c r="D466" s="2"/>
      <c r="E466" s="2"/>
      <c r="F466" s="2"/>
      <c r="G466" s="2"/>
      <c r="H466" s="2"/>
      <c r="I466" s="2"/>
    </row>
    <row r="467" ht="15.75" customHeight="1">
      <c r="A467" s="2"/>
      <c r="B467" s="2"/>
      <c r="C467" s="2"/>
      <c r="D467" s="2"/>
      <c r="E467" s="2"/>
      <c r="F467" s="2"/>
      <c r="G467" s="2"/>
      <c r="H467" s="2"/>
      <c r="I467" s="2"/>
    </row>
    <row r="468" ht="15.75" customHeight="1">
      <c r="A468" s="2"/>
      <c r="B468" s="2"/>
      <c r="C468" s="2"/>
      <c r="D468" s="2"/>
      <c r="E468" s="2"/>
      <c r="F468" s="2"/>
      <c r="G468" s="2"/>
      <c r="H468" s="2"/>
      <c r="I468" s="2"/>
    </row>
    <row r="469" ht="15.75" customHeight="1">
      <c r="A469" s="2"/>
      <c r="B469" s="2"/>
      <c r="C469" s="2"/>
      <c r="D469" s="2"/>
      <c r="E469" s="2"/>
      <c r="F469" s="2"/>
      <c r="G469" s="2"/>
      <c r="H469" s="2"/>
      <c r="I469" s="2"/>
    </row>
    <row r="470" ht="15.75" customHeight="1">
      <c r="A470" s="2"/>
      <c r="B470" s="2"/>
      <c r="C470" s="2"/>
      <c r="D470" s="2"/>
      <c r="E470" s="2"/>
      <c r="F470" s="2"/>
      <c r="G470" s="2"/>
      <c r="H470" s="2"/>
      <c r="I470" s="2"/>
    </row>
    <row r="471" ht="15.75" customHeight="1">
      <c r="A471" s="2"/>
      <c r="B471" s="2"/>
      <c r="C471" s="2"/>
      <c r="D471" s="2"/>
      <c r="E471" s="2"/>
      <c r="F471" s="2"/>
      <c r="G471" s="2"/>
      <c r="H471" s="2"/>
      <c r="I471" s="2"/>
    </row>
    <row r="472" ht="15.75" customHeight="1">
      <c r="A472" s="2"/>
      <c r="B472" s="2"/>
      <c r="C472" s="2"/>
      <c r="D472" s="2"/>
      <c r="E472" s="2"/>
      <c r="F472" s="2"/>
      <c r="G472" s="2"/>
      <c r="H472" s="2"/>
      <c r="I472" s="2"/>
    </row>
    <row r="473" ht="15.75" customHeight="1">
      <c r="A473" s="2"/>
      <c r="B473" s="2"/>
      <c r="C473" s="2"/>
      <c r="D473" s="2"/>
      <c r="E473" s="2"/>
      <c r="F473" s="2"/>
      <c r="G473" s="2"/>
      <c r="H473" s="2"/>
      <c r="I473" s="2"/>
    </row>
    <row r="474" ht="15.75" customHeight="1">
      <c r="A474" s="2"/>
      <c r="B474" s="2"/>
      <c r="C474" s="2"/>
      <c r="D474" s="2"/>
      <c r="E474" s="2"/>
      <c r="F474" s="2"/>
      <c r="G474" s="2"/>
      <c r="H474" s="2"/>
      <c r="I474" s="2"/>
    </row>
    <row r="475" ht="15.75" customHeight="1">
      <c r="A475" s="2"/>
      <c r="B475" s="2"/>
      <c r="C475" s="2"/>
      <c r="D475" s="2"/>
      <c r="E475" s="2"/>
      <c r="F475" s="2"/>
      <c r="G475" s="2"/>
      <c r="H475" s="2"/>
      <c r="I475" s="2"/>
    </row>
    <row r="476" ht="15.75" customHeight="1">
      <c r="A476" s="2"/>
      <c r="B476" s="2"/>
      <c r="C476" s="2"/>
      <c r="D476" s="2"/>
      <c r="E476" s="2"/>
      <c r="F476" s="2"/>
      <c r="G476" s="2"/>
      <c r="H476" s="2"/>
      <c r="I476" s="2"/>
    </row>
    <row r="477" ht="15.75" customHeight="1">
      <c r="A477" s="2"/>
      <c r="B477" s="2"/>
      <c r="C477" s="2"/>
      <c r="D477" s="2"/>
      <c r="E477" s="2"/>
      <c r="F477" s="2"/>
      <c r="G477" s="2"/>
      <c r="H477" s="2"/>
      <c r="I477" s="2"/>
    </row>
    <row r="478" ht="15.75" customHeight="1">
      <c r="A478" s="2"/>
      <c r="B478" s="2"/>
      <c r="C478" s="2"/>
      <c r="D478" s="2"/>
      <c r="E478" s="2"/>
      <c r="F478" s="2"/>
      <c r="G478" s="2"/>
      <c r="H478" s="2"/>
      <c r="I478" s="2"/>
    </row>
    <row r="479" ht="15.75" customHeight="1">
      <c r="A479" s="2"/>
      <c r="B479" s="2"/>
      <c r="C479" s="2"/>
      <c r="D479" s="2"/>
      <c r="E479" s="2"/>
      <c r="F479" s="2"/>
      <c r="G479" s="2"/>
      <c r="H479" s="2"/>
      <c r="I479" s="2"/>
    </row>
    <row r="480" ht="15.75" customHeight="1">
      <c r="A480" s="2"/>
      <c r="B480" s="2"/>
      <c r="C480" s="2"/>
      <c r="D480" s="2"/>
      <c r="E480" s="2"/>
      <c r="F480" s="2"/>
      <c r="G480" s="2"/>
      <c r="H480" s="2"/>
      <c r="I480" s="2"/>
    </row>
    <row r="481" ht="15.75" customHeight="1">
      <c r="A481" s="2"/>
      <c r="B481" s="2"/>
      <c r="C481" s="2"/>
      <c r="D481" s="2"/>
      <c r="E481" s="2"/>
      <c r="F481" s="2"/>
      <c r="G481" s="2"/>
      <c r="H481" s="2"/>
      <c r="I481" s="2"/>
    </row>
    <row r="482" ht="15.75" customHeight="1">
      <c r="A482" s="2"/>
      <c r="B482" s="2"/>
      <c r="C482" s="2"/>
      <c r="D482" s="2"/>
      <c r="E482" s="2"/>
      <c r="F482" s="2"/>
      <c r="G482" s="2"/>
      <c r="H482" s="2"/>
      <c r="I482" s="2"/>
    </row>
    <row r="483" ht="15.75" customHeight="1">
      <c r="A483" s="2"/>
      <c r="B483" s="2"/>
      <c r="C483" s="2"/>
      <c r="D483" s="2"/>
      <c r="E483" s="2"/>
      <c r="F483" s="2"/>
      <c r="G483" s="2"/>
      <c r="H483" s="2"/>
      <c r="I483" s="2"/>
    </row>
    <row r="484" ht="15.75" customHeight="1">
      <c r="A484" s="2"/>
      <c r="B484" s="2"/>
      <c r="C484" s="2"/>
      <c r="D484" s="2"/>
      <c r="E484" s="2"/>
      <c r="F484" s="2"/>
      <c r="G484" s="2"/>
      <c r="H484" s="2"/>
      <c r="I484" s="2"/>
    </row>
    <row r="485" ht="15.75" customHeight="1">
      <c r="A485" s="2"/>
      <c r="B485" s="2"/>
      <c r="C485" s="2"/>
      <c r="D485" s="2"/>
      <c r="E485" s="2"/>
      <c r="F485" s="2"/>
      <c r="G485" s="2"/>
      <c r="H485" s="2"/>
      <c r="I485" s="2"/>
    </row>
    <row r="486" ht="15.75" customHeight="1">
      <c r="A486" s="2"/>
      <c r="B486" s="2"/>
      <c r="C486" s="2"/>
      <c r="D486" s="2"/>
      <c r="E486" s="2"/>
      <c r="F486" s="2"/>
      <c r="G486" s="2"/>
      <c r="H486" s="2"/>
      <c r="I486" s="2"/>
    </row>
    <row r="487" ht="15.75" customHeight="1">
      <c r="A487" s="2"/>
      <c r="B487" s="2"/>
      <c r="C487" s="2"/>
      <c r="D487" s="2"/>
      <c r="E487" s="2"/>
      <c r="F487" s="2"/>
      <c r="G487" s="2"/>
      <c r="H487" s="2"/>
      <c r="I487" s="2"/>
    </row>
    <row r="488" ht="15.75" customHeight="1">
      <c r="A488" s="2"/>
      <c r="B488" s="2"/>
      <c r="C488" s="2"/>
      <c r="D488" s="2"/>
      <c r="E488" s="2"/>
      <c r="F488" s="2"/>
      <c r="G488" s="2"/>
      <c r="H488" s="2"/>
      <c r="I488" s="2"/>
    </row>
    <row r="489" ht="15.75" customHeight="1">
      <c r="A489" s="2"/>
      <c r="B489" s="2"/>
      <c r="C489" s="2"/>
      <c r="D489" s="2"/>
      <c r="E489" s="2"/>
      <c r="F489" s="2"/>
      <c r="G489" s="2"/>
      <c r="H489" s="2"/>
      <c r="I489" s="2"/>
    </row>
    <row r="490" ht="15.75" customHeight="1">
      <c r="A490" s="2"/>
      <c r="B490" s="2"/>
      <c r="C490" s="2"/>
      <c r="D490" s="2"/>
      <c r="E490" s="2"/>
      <c r="F490" s="2"/>
      <c r="G490" s="2"/>
      <c r="H490" s="2"/>
      <c r="I490" s="2"/>
    </row>
    <row r="491" ht="15.75" customHeight="1">
      <c r="A491" s="2"/>
      <c r="B491" s="2"/>
      <c r="C491" s="2"/>
      <c r="D491" s="2"/>
      <c r="E491" s="2"/>
      <c r="F491" s="2"/>
      <c r="G491" s="2"/>
      <c r="H491" s="2"/>
      <c r="I491" s="2"/>
    </row>
    <row r="492" ht="15.75" customHeight="1">
      <c r="A492" s="2"/>
      <c r="B492" s="2"/>
      <c r="C492" s="2"/>
      <c r="D492" s="2"/>
      <c r="E492" s="2"/>
      <c r="F492" s="2"/>
      <c r="G492" s="2"/>
      <c r="H492" s="2"/>
      <c r="I492" s="2"/>
    </row>
    <row r="493" ht="15.75" customHeight="1">
      <c r="A493" s="2"/>
      <c r="B493" s="2"/>
      <c r="C493" s="2"/>
      <c r="D493" s="2"/>
      <c r="E493" s="2"/>
      <c r="F493" s="2"/>
      <c r="G493" s="2"/>
      <c r="H493" s="2"/>
      <c r="I493" s="2"/>
    </row>
    <row r="494" ht="15.75" customHeight="1">
      <c r="A494" s="2"/>
      <c r="B494" s="2"/>
      <c r="C494" s="2"/>
      <c r="D494" s="2"/>
      <c r="E494" s="2"/>
      <c r="F494" s="2"/>
      <c r="G494" s="2"/>
      <c r="H494" s="2"/>
      <c r="I494" s="2"/>
    </row>
    <row r="495" ht="15.75" customHeight="1">
      <c r="A495" s="2"/>
      <c r="B495" s="2"/>
      <c r="C495" s="2"/>
      <c r="D495" s="2"/>
      <c r="E495" s="2"/>
      <c r="F495" s="2"/>
      <c r="G495" s="2"/>
      <c r="H495" s="2"/>
      <c r="I495" s="2"/>
    </row>
    <row r="496" ht="15.75" customHeight="1">
      <c r="A496" s="2"/>
      <c r="B496" s="2"/>
      <c r="C496" s="2"/>
      <c r="D496" s="2"/>
      <c r="E496" s="2"/>
      <c r="F496" s="2"/>
      <c r="G496" s="2"/>
      <c r="H496" s="2"/>
      <c r="I496" s="2"/>
    </row>
    <row r="497" ht="15.75" customHeight="1">
      <c r="A497" s="2"/>
      <c r="B497" s="2"/>
      <c r="C497" s="2"/>
      <c r="D497" s="2"/>
      <c r="E497" s="2"/>
      <c r="F497" s="2"/>
      <c r="G497" s="2"/>
      <c r="H497" s="2"/>
      <c r="I497" s="2"/>
    </row>
    <row r="498" ht="15.75" customHeight="1">
      <c r="A498" s="2"/>
      <c r="B498" s="2"/>
      <c r="C498" s="2"/>
      <c r="D498" s="2"/>
      <c r="E498" s="2"/>
      <c r="F498" s="2"/>
      <c r="G498" s="2"/>
      <c r="H498" s="2"/>
      <c r="I498" s="2"/>
    </row>
    <row r="499" ht="15.75" customHeight="1">
      <c r="A499" s="2"/>
      <c r="B499" s="2"/>
      <c r="C499" s="2"/>
      <c r="D499" s="2"/>
      <c r="E499" s="2"/>
      <c r="F499" s="2"/>
      <c r="G499" s="2"/>
      <c r="H499" s="2"/>
      <c r="I499" s="2"/>
    </row>
    <row r="500" ht="15.75" customHeight="1">
      <c r="A500" s="2"/>
      <c r="B500" s="2"/>
      <c r="C500" s="2"/>
      <c r="D500" s="2"/>
      <c r="E500" s="2"/>
      <c r="F500" s="2"/>
      <c r="G500" s="2"/>
      <c r="H500" s="2"/>
      <c r="I500" s="2"/>
    </row>
    <row r="501" ht="15.75" customHeight="1">
      <c r="A501" s="2"/>
      <c r="B501" s="2"/>
      <c r="C501" s="2"/>
      <c r="D501" s="2"/>
      <c r="E501" s="2"/>
      <c r="F501" s="2"/>
      <c r="G501" s="2"/>
      <c r="H501" s="2"/>
      <c r="I501" s="2"/>
    </row>
    <row r="502" ht="15.75" customHeight="1">
      <c r="A502" s="2"/>
      <c r="B502" s="2"/>
      <c r="C502" s="2"/>
      <c r="D502" s="2"/>
      <c r="E502" s="2"/>
      <c r="F502" s="2"/>
      <c r="G502" s="2"/>
      <c r="H502" s="2"/>
      <c r="I502" s="2"/>
    </row>
    <row r="503" ht="15.75" customHeight="1">
      <c r="A503" s="2"/>
      <c r="B503" s="2"/>
      <c r="C503" s="2"/>
      <c r="D503" s="2"/>
      <c r="E503" s="2"/>
      <c r="F503" s="2"/>
      <c r="G503" s="2"/>
      <c r="H503" s="2"/>
      <c r="I503" s="2"/>
    </row>
    <row r="504" ht="15.75" customHeight="1">
      <c r="A504" s="2"/>
      <c r="B504" s="2"/>
      <c r="C504" s="2"/>
      <c r="D504" s="2"/>
      <c r="E504" s="2"/>
      <c r="F504" s="2"/>
      <c r="G504" s="2"/>
      <c r="H504" s="2"/>
      <c r="I504" s="2"/>
    </row>
    <row r="505" ht="15.75" customHeight="1">
      <c r="A505" s="2"/>
      <c r="B505" s="2"/>
      <c r="C505" s="2"/>
      <c r="D505" s="2"/>
      <c r="E505" s="2"/>
      <c r="F505" s="2"/>
      <c r="G505" s="2"/>
      <c r="H505" s="2"/>
      <c r="I505" s="2"/>
    </row>
    <row r="506" ht="15.75" customHeight="1">
      <c r="A506" s="2"/>
      <c r="B506" s="2"/>
      <c r="C506" s="2"/>
      <c r="D506" s="2"/>
      <c r="E506" s="2"/>
      <c r="F506" s="2"/>
      <c r="G506" s="2"/>
      <c r="H506" s="2"/>
      <c r="I506" s="2"/>
    </row>
    <row r="507" ht="15.75" customHeight="1">
      <c r="A507" s="2"/>
      <c r="B507" s="2"/>
      <c r="C507" s="2"/>
      <c r="D507" s="2"/>
      <c r="E507" s="2"/>
      <c r="F507" s="2"/>
      <c r="G507" s="2"/>
      <c r="H507" s="2"/>
      <c r="I507" s="2"/>
    </row>
    <row r="508" ht="15.75" customHeight="1">
      <c r="A508" s="2"/>
      <c r="B508" s="2"/>
      <c r="C508" s="2"/>
      <c r="D508" s="2"/>
      <c r="E508" s="2"/>
      <c r="F508" s="2"/>
      <c r="G508" s="2"/>
      <c r="H508" s="2"/>
      <c r="I508" s="2"/>
    </row>
    <row r="509" ht="15.75" customHeight="1">
      <c r="A509" s="2"/>
      <c r="B509" s="2"/>
      <c r="C509" s="2"/>
      <c r="D509" s="2"/>
      <c r="E509" s="2"/>
      <c r="F509" s="2"/>
      <c r="G509" s="2"/>
      <c r="H509" s="2"/>
      <c r="I509" s="2"/>
    </row>
    <row r="510" ht="15.75" customHeight="1">
      <c r="A510" s="2"/>
      <c r="B510" s="2"/>
      <c r="C510" s="2"/>
      <c r="D510" s="2"/>
      <c r="E510" s="2"/>
      <c r="F510" s="2"/>
      <c r="G510" s="2"/>
      <c r="H510" s="2"/>
      <c r="I510" s="2"/>
    </row>
    <row r="511" ht="15.75" customHeight="1">
      <c r="A511" s="2"/>
      <c r="B511" s="2"/>
      <c r="C511" s="2"/>
      <c r="D511" s="2"/>
      <c r="E511" s="2"/>
      <c r="F511" s="2"/>
      <c r="G511" s="2"/>
      <c r="H511" s="2"/>
      <c r="I511" s="2"/>
    </row>
    <row r="512" ht="15.75" customHeight="1">
      <c r="A512" s="2"/>
      <c r="B512" s="2"/>
      <c r="C512" s="2"/>
      <c r="D512" s="2"/>
      <c r="E512" s="2"/>
      <c r="F512" s="2"/>
      <c r="G512" s="2"/>
      <c r="H512" s="2"/>
      <c r="I512" s="2"/>
    </row>
    <row r="513" ht="15.75" customHeight="1">
      <c r="A513" s="2"/>
      <c r="B513" s="2"/>
      <c r="C513" s="2"/>
      <c r="D513" s="2"/>
      <c r="E513" s="2"/>
      <c r="F513" s="2"/>
      <c r="G513" s="2"/>
      <c r="H513" s="2"/>
      <c r="I513" s="2"/>
    </row>
    <row r="514" ht="15.75" customHeight="1">
      <c r="A514" s="2"/>
      <c r="B514" s="2"/>
      <c r="C514" s="2"/>
      <c r="D514" s="2"/>
      <c r="E514" s="2"/>
      <c r="F514" s="2"/>
      <c r="G514" s="2"/>
      <c r="H514" s="2"/>
      <c r="I514" s="2"/>
    </row>
    <row r="515" ht="15.75" customHeight="1">
      <c r="A515" s="2"/>
      <c r="B515" s="2"/>
      <c r="C515" s="2"/>
      <c r="D515" s="2"/>
      <c r="E515" s="2"/>
      <c r="F515" s="2"/>
      <c r="G515" s="2"/>
      <c r="H515" s="2"/>
      <c r="I515" s="2"/>
    </row>
    <row r="516" ht="15.75" customHeight="1">
      <c r="A516" s="2"/>
      <c r="B516" s="2"/>
      <c r="C516" s="2"/>
      <c r="D516" s="2"/>
      <c r="E516" s="2"/>
      <c r="F516" s="2"/>
      <c r="G516" s="2"/>
      <c r="H516" s="2"/>
      <c r="I516" s="2"/>
    </row>
    <row r="517" ht="15.75" customHeight="1">
      <c r="A517" s="2"/>
      <c r="B517" s="2"/>
      <c r="C517" s="2"/>
      <c r="D517" s="2"/>
      <c r="E517" s="2"/>
      <c r="F517" s="2"/>
      <c r="G517" s="2"/>
      <c r="H517" s="2"/>
      <c r="I517" s="2"/>
    </row>
    <row r="518" ht="15.75" customHeight="1">
      <c r="A518" s="2"/>
      <c r="B518" s="2"/>
      <c r="C518" s="2"/>
      <c r="D518" s="2"/>
      <c r="E518" s="2"/>
      <c r="F518" s="2"/>
      <c r="G518" s="2"/>
      <c r="H518" s="2"/>
      <c r="I518" s="2"/>
    </row>
    <row r="519" ht="15.75" customHeight="1">
      <c r="A519" s="2"/>
      <c r="B519" s="2"/>
      <c r="C519" s="2"/>
      <c r="D519" s="2"/>
      <c r="E519" s="2"/>
      <c r="F519" s="2"/>
      <c r="G519" s="2"/>
      <c r="H519" s="2"/>
      <c r="I519" s="2"/>
    </row>
    <row r="520" ht="15.75" customHeight="1">
      <c r="A520" s="2"/>
      <c r="B520" s="2"/>
      <c r="C520" s="2"/>
      <c r="D520" s="2"/>
      <c r="E520" s="2"/>
      <c r="F520" s="2"/>
      <c r="G520" s="2"/>
      <c r="H520" s="2"/>
      <c r="I520" s="2"/>
    </row>
    <row r="521" ht="15.75" customHeight="1">
      <c r="A521" s="2"/>
      <c r="B521" s="2"/>
      <c r="C521" s="2"/>
      <c r="D521" s="2"/>
      <c r="E521" s="2"/>
      <c r="F521" s="2"/>
      <c r="G521" s="2"/>
      <c r="H521" s="2"/>
      <c r="I521" s="2"/>
    </row>
    <row r="522" ht="15.75" customHeight="1">
      <c r="A522" s="2"/>
      <c r="B522" s="2"/>
      <c r="C522" s="2"/>
      <c r="D522" s="2"/>
      <c r="E522" s="2"/>
      <c r="F522" s="2"/>
      <c r="G522" s="2"/>
      <c r="H522" s="2"/>
      <c r="I522" s="2"/>
    </row>
    <row r="523" ht="15.75" customHeight="1">
      <c r="A523" s="2"/>
      <c r="B523" s="2"/>
      <c r="C523" s="2"/>
      <c r="D523" s="2"/>
      <c r="E523" s="2"/>
      <c r="F523" s="2"/>
      <c r="G523" s="2"/>
      <c r="H523" s="2"/>
      <c r="I523" s="2"/>
    </row>
    <row r="524" ht="15.75" customHeight="1">
      <c r="A524" s="2"/>
      <c r="B524" s="2"/>
      <c r="C524" s="2"/>
      <c r="D524" s="2"/>
      <c r="E524" s="2"/>
      <c r="F524" s="2"/>
      <c r="G524" s="2"/>
      <c r="H524" s="2"/>
      <c r="I524" s="2"/>
    </row>
    <row r="525" ht="15.75" customHeight="1">
      <c r="A525" s="2"/>
      <c r="B525" s="2"/>
      <c r="C525" s="2"/>
      <c r="D525" s="2"/>
      <c r="E525" s="2"/>
      <c r="F525" s="2"/>
      <c r="G525" s="2"/>
      <c r="H525" s="2"/>
      <c r="I525" s="2"/>
    </row>
    <row r="526" ht="15.75" customHeight="1">
      <c r="A526" s="2"/>
      <c r="B526" s="2"/>
      <c r="C526" s="2"/>
      <c r="D526" s="2"/>
      <c r="E526" s="2"/>
      <c r="F526" s="2"/>
      <c r="G526" s="2"/>
      <c r="H526" s="2"/>
      <c r="I526" s="2"/>
    </row>
    <row r="527" ht="15.75" customHeight="1">
      <c r="A527" s="2"/>
      <c r="B527" s="2"/>
      <c r="C527" s="2"/>
      <c r="D527" s="2"/>
      <c r="E527" s="2"/>
      <c r="F527" s="2"/>
      <c r="G527" s="2"/>
      <c r="H527" s="2"/>
      <c r="I527" s="2"/>
    </row>
    <row r="528" ht="15.75" customHeight="1">
      <c r="A528" s="2"/>
      <c r="B528" s="2"/>
      <c r="C528" s="2"/>
      <c r="D528" s="2"/>
      <c r="E528" s="2"/>
      <c r="F528" s="2"/>
      <c r="G528" s="2"/>
      <c r="H528" s="2"/>
      <c r="I528" s="2"/>
    </row>
    <row r="529" ht="15.75" customHeight="1">
      <c r="A529" s="2"/>
      <c r="B529" s="2"/>
      <c r="C529" s="2"/>
      <c r="D529" s="2"/>
      <c r="E529" s="2"/>
      <c r="F529" s="2"/>
      <c r="G529" s="2"/>
      <c r="H529" s="2"/>
      <c r="I529" s="2"/>
    </row>
    <row r="530" ht="15.75" customHeight="1">
      <c r="A530" s="2"/>
      <c r="B530" s="2"/>
      <c r="C530" s="2"/>
      <c r="D530" s="2"/>
      <c r="E530" s="2"/>
      <c r="F530" s="2"/>
      <c r="G530" s="2"/>
      <c r="H530" s="2"/>
      <c r="I530" s="2"/>
    </row>
    <row r="531" ht="15.75" customHeight="1">
      <c r="A531" s="2"/>
      <c r="B531" s="2"/>
      <c r="C531" s="2"/>
      <c r="D531" s="2"/>
      <c r="E531" s="2"/>
      <c r="F531" s="2"/>
      <c r="G531" s="2"/>
      <c r="H531" s="2"/>
      <c r="I531" s="2"/>
    </row>
    <row r="532" ht="15.75" customHeight="1">
      <c r="A532" s="2"/>
      <c r="B532" s="2"/>
      <c r="C532" s="2"/>
      <c r="D532" s="2"/>
      <c r="E532" s="2"/>
      <c r="F532" s="2"/>
      <c r="G532" s="2"/>
      <c r="H532" s="2"/>
      <c r="I532" s="2"/>
    </row>
    <row r="533" ht="15.75" customHeight="1">
      <c r="A533" s="2"/>
      <c r="B533" s="2"/>
      <c r="C533" s="2"/>
      <c r="D533" s="2"/>
      <c r="E533" s="2"/>
      <c r="F533" s="2"/>
      <c r="G533" s="2"/>
      <c r="H533" s="2"/>
      <c r="I533" s="2"/>
    </row>
    <row r="534" ht="15.75" customHeight="1">
      <c r="A534" s="2"/>
      <c r="B534" s="2"/>
      <c r="C534" s="2"/>
      <c r="D534" s="2"/>
      <c r="E534" s="2"/>
      <c r="F534" s="2"/>
      <c r="G534" s="2"/>
      <c r="H534" s="2"/>
      <c r="I534" s="2"/>
    </row>
    <row r="535" ht="15.75" customHeight="1">
      <c r="A535" s="2"/>
      <c r="B535" s="2"/>
      <c r="C535" s="2"/>
      <c r="D535" s="2"/>
      <c r="E535" s="2"/>
      <c r="F535" s="2"/>
      <c r="G535" s="2"/>
      <c r="H535" s="2"/>
      <c r="I535" s="2"/>
    </row>
    <row r="536" ht="15.75" customHeight="1">
      <c r="A536" s="2"/>
      <c r="B536" s="2"/>
      <c r="C536" s="2"/>
      <c r="D536" s="2"/>
      <c r="E536" s="2"/>
      <c r="F536" s="2"/>
      <c r="G536" s="2"/>
      <c r="H536" s="2"/>
      <c r="I536" s="2"/>
    </row>
    <row r="537" ht="15.75" customHeight="1">
      <c r="A537" s="2"/>
      <c r="B537" s="2"/>
      <c r="C537" s="2"/>
      <c r="D537" s="2"/>
      <c r="E537" s="2"/>
      <c r="F537" s="2"/>
      <c r="G537" s="2"/>
      <c r="H537" s="2"/>
      <c r="I537" s="2"/>
    </row>
    <row r="538" ht="15.75" customHeight="1">
      <c r="A538" s="2"/>
      <c r="B538" s="2"/>
      <c r="C538" s="2"/>
      <c r="D538" s="2"/>
      <c r="E538" s="2"/>
      <c r="F538" s="2"/>
      <c r="G538" s="2"/>
      <c r="H538" s="2"/>
      <c r="I538" s="2"/>
    </row>
    <row r="539" ht="15.75" customHeight="1">
      <c r="A539" s="2"/>
      <c r="B539" s="2"/>
      <c r="C539" s="2"/>
      <c r="D539" s="2"/>
      <c r="E539" s="2"/>
      <c r="F539" s="2"/>
      <c r="G539" s="2"/>
      <c r="H539" s="2"/>
      <c r="I539" s="2"/>
    </row>
    <row r="540" ht="15.75" customHeight="1">
      <c r="A540" s="2"/>
      <c r="B540" s="2"/>
      <c r="C540" s="2"/>
      <c r="D540" s="2"/>
      <c r="E540" s="2"/>
      <c r="F540" s="2"/>
      <c r="G540" s="2"/>
      <c r="H540" s="2"/>
      <c r="I540" s="2"/>
    </row>
    <row r="541" ht="15.75" customHeight="1">
      <c r="A541" s="2"/>
      <c r="B541" s="2"/>
      <c r="C541" s="2"/>
      <c r="D541" s="2"/>
      <c r="E541" s="2"/>
      <c r="F541" s="2"/>
      <c r="G541" s="2"/>
      <c r="H541" s="2"/>
      <c r="I541" s="2"/>
    </row>
    <row r="542" ht="15.75" customHeight="1">
      <c r="A542" s="2"/>
      <c r="B542" s="2"/>
      <c r="C542" s="2"/>
      <c r="D542" s="2"/>
      <c r="E542" s="2"/>
      <c r="F542" s="2"/>
      <c r="G542" s="2"/>
      <c r="H542" s="2"/>
      <c r="I542" s="2"/>
    </row>
    <row r="543" ht="15.75" customHeight="1">
      <c r="A543" s="2"/>
      <c r="B543" s="2"/>
      <c r="C543" s="2"/>
      <c r="D543" s="2"/>
      <c r="E543" s="2"/>
      <c r="F543" s="2"/>
      <c r="G543" s="2"/>
      <c r="H543" s="2"/>
      <c r="I543" s="2"/>
    </row>
    <row r="544" ht="15.75" customHeight="1">
      <c r="A544" s="2"/>
      <c r="B544" s="2"/>
      <c r="C544" s="2"/>
      <c r="D544" s="2"/>
      <c r="E544" s="2"/>
      <c r="F544" s="2"/>
      <c r="G544" s="2"/>
      <c r="H544" s="2"/>
      <c r="I544" s="2"/>
    </row>
    <row r="545" ht="15.75" customHeight="1">
      <c r="A545" s="2"/>
      <c r="B545" s="2"/>
      <c r="C545" s="2"/>
      <c r="D545" s="2"/>
      <c r="E545" s="2"/>
      <c r="F545" s="2"/>
      <c r="G545" s="2"/>
      <c r="H545" s="2"/>
      <c r="I545" s="2"/>
    </row>
    <row r="546" ht="15.75" customHeight="1">
      <c r="A546" s="2"/>
      <c r="B546" s="2"/>
      <c r="C546" s="2"/>
      <c r="D546" s="2"/>
      <c r="E546" s="2"/>
      <c r="F546" s="2"/>
      <c r="G546" s="2"/>
      <c r="H546" s="2"/>
      <c r="I546" s="2"/>
    </row>
    <row r="547" ht="15.75" customHeight="1">
      <c r="A547" s="2"/>
      <c r="B547" s="2"/>
      <c r="C547" s="2"/>
      <c r="D547" s="2"/>
      <c r="E547" s="2"/>
      <c r="F547" s="2"/>
      <c r="G547" s="2"/>
      <c r="H547" s="2"/>
      <c r="I547" s="2"/>
    </row>
    <row r="548" ht="15.75" customHeight="1">
      <c r="A548" s="2"/>
      <c r="B548" s="2"/>
      <c r="C548" s="2"/>
      <c r="D548" s="2"/>
      <c r="E548" s="2"/>
      <c r="F548" s="2"/>
      <c r="G548" s="2"/>
      <c r="H548" s="2"/>
      <c r="I548" s="2"/>
    </row>
    <row r="549" ht="15.75" customHeight="1">
      <c r="A549" s="2"/>
      <c r="B549" s="2"/>
      <c r="C549" s="2"/>
      <c r="D549" s="2"/>
      <c r="E549" s="2"/>
      <c r="F549" s="2"/>
      <c r="G549" s="2"/>
      <c r="H549" s="2"/>
      <c r="I549" s="2"/>
    </row>
    <row r="550" ht="15.75" customHeight="1">
      <c r="A550" s="2"/>
      <c r="B550" s="2"/>
      <c r="C550" s="2"/>
      <c r="D550" s="2"/>
      <c r="E550" s="2"/>
      <c r="F550" s="2"/>
      <c r="G550" s="2"/>
      <c r="H550" s="2"/>
      <c r="I550" s="2"/>
    </row>
    <row r="551" ht="15.75" customHeight="1">
      <c r="A551" s="2"/>
      <c r="B551" s="2"/>
      <c r="C551" s="2"/>
      <c r="D551" s="2"/>
      <c r="E551" s="2"/>
      <c r="F551" s="2"/>
      <c r="G551" s="2"/>
      <c r="H551" s="2"/>
      <c r="I551" s="2"/>
    </row>
    <row r="552" ht="15.75" customHeight="1">
      <c r="A552" s="2"/>
      <c r="B552" s="2"/>
      <c r="C552" s="2"/>
      <c r="D552" s="2"/>
      <c r="E552" s="2"/>
      <c r="F552" s="2"/>
      <c r="G552" s="2"/>
      <c r="H552" s="2"/>
      <c r="I552" s="2"/>
    </row>
    <row r="553" ht="15.75" customHeight="1">
      <c r="A553" s="2"/>
      <c r="B553" s="2"/>
      <c r="C553" s="2"/>
      <c r="D553" s="2"/>
      <c r="E553" s="2"/>
      <c r="F553" s="2"/>
      <c r="G553" s="2"/>
      <c r="H553" s="2"/>
      <c r="I553" s="2"/>
    </row>
    <row r="554" ht="15.75" customHeight="1">
      <c r="A554" s="2"/>
      <c r="B554" s="2"/>
      <c r="C554" s="2"/>
      <c r="D554" s="2"/>
      <c r="E554" s="2"/>
      <c r="F554" s="2"/>
      <c r="G554" s="2"/>
      <c r="H554" s="2"/>
      <c r="I554" s="2"/>
    </row>
    <row r="555" ht="15.75" customHeight="1">
      <c r="A555" s="2"/>
      <c r="B555" s="2"/>
      <c r="C555" s="2"/>
      <c r="D555" s="2"/>
      <c r="E555" s="2"/>
      <c r="F555" s="2"/>
      <c r="G555" s="2"/>
      <c r="H555" s="2"/>
      <c r="I555" s="2"/>
    </row>
    <row r="556" ht="15.75" customHeight="1">
      <c r="A556" s="2"/>
      <c r="B556" s="2"/>
      <c r="C556" s="2"/>
      <c r="D556" s="2"/>
      <c r="E556" s="2"/>
      <c r="F556" s="2"/>
      <c r="G556" s="2"/>
      <c r="H556" s="2"/>
      <c r="I556" s="2"/>
    </row>
    <row r="557" ht="15.75" customHeight="1">
      <c r="A557" s="2"/>
      <c r="B557" s="2"/>
      <c r="C557" s="2"/>
      <c r="D557" s="2"/>
      <c r="E557" s="2"/>
      <c r="F557" s="2"/>
      <c r="G557" s="2"/>
      <c r="H557" s="2"/>
      <c r="I557" s="2"/>
    </row>
    <row r="558" ht="15.75" customHeight="1">
      <c r="A558" s="2"/>
      <c r="B558" s="2"/>
      <c r="C558" s="2"/>
      <c r="D558" s="2"/>
      <c r="E558" s="2"/>
      <c r="F558" s="2"/>
      <c r="G558" s="2"/>
      <c r="H558" s="2"/>
      <c r="I558" s="2"/>
    </row>
    <row r="559" ht="15.75" customHeight="1">
      <c r="A559" s="2"/>
      <c r="B559" s="2"/>
      <c r="C559" s="2"/>
      <c r="D559" s="2"/>
      <c r="E559" s="2"/>
      <c r="F559" s="2"/>
      <c r="G559" s="2"/>
      <c r="H559" s="2"/>
      <c r="I559" s="2"/>
    </row>
    <row r="560" ht="15.75" customHeight="1">
      <c r="A560" s="2"/>
      <c r="B560" s="2"/>
      <c r="C560" s="2"/>
      <c r="D560" s="2"/>
      <c r="E560" s="2"/>
      <c r="F560" s="2"/>
      <c r="G560" s="2"/>
      <c r="H560" s="2"/>
      <c r="I560" s="2"/>
    </row>
    <row r="561" ht="15.75" customHeight="1">
      <c r="A561" s="2"/>
      <c r="B561" s="2"/>
      <c r="C561" s="2"/>
      <c r="D561" s="2"/>
      <c r="E561" s="2"/>
      <c r="F561" s="2"/>
      <c r="G561" s="2"/>
      <c r="H561" s="2"/>
      <c r="I561" s="2"/>
    </row>
    <row r="562" ht="15.75" customHeight="1">
      <c r="A562" s="2"/>
      <c r="B562" s="2"/>
      <c r="C562" s="2"/>
      <c r="D562" s="2"/>
      <c r="E562" s="2"/>
      <c r="F562" s="2"/>
      <c r="G562" s="2"/>
      <c r="H562" s="2"/>
      <c r="I562" s="2"/>
    </row>
    <row r="563" ht="15.75" customHeight="1">
      <c r="A563" s="2"/>
      <c r="B563" s="2"/>
      <c r="C563" s="2"/>
      <c r="D563" s="2"/>
      <c r="E563" s="2"/>
      <c r="F563" s="2"/>
      <c r="G563" s="2"/>
      <c r="H563" s="2"/>
      <c r="I563" s="2"/>
    </row>
    <row r="564" ht="15.75" customHeight="1">
      <c r="A564" s="2"/>
      <c r="B564" s="2"/>
      <c r="C564" s="2"/>
      <c r="D564" s="2"/>
      <c r="E564" s="2"/>
      <c r="F564" s="2"/>
      <c r="G564" s="2"/>
      <c r="H564" s="2"/>
      <c r="I564" s="2"/>
    </row>
    <row r="565" ht="15.75" customHeight="1">
      <c r="A565" s="2"/>
      <c r="B565" s="2"/>
      <c r="C565" s="2"/>
      <c r="D565" s="2"/>
      <c r="E565" s="2"/>
      <c r="F565" s="2"/>
      <c r="G565" s="2"/>
      <c r="H565" s="2"/>
      <c r="I565" s="2"/>
    </row>
    <row r="566" ht="15.75" customHeight="1">
      <c r="A566" s="2"/>
      <c r="B566" s="2"/>
      <c r="C566" s="2"/>
      <c r="D566" s="2"/>
      <c r="E566" s="2"/>
      <c r="F566" s="2"/>
      <c r="G566" s="2"/>
      <c r="H566" s="2"/>
      <c r="I566" s="2"/>
    </row>
    <row r="567" ht="15.75" customHeight="1">
      <c r="A567" s="2"/>
      <c r="B567" s="2"/>
      <c r="C567" s="2"/>
      <c r="D567" s="2"/>
      <c r="E567" s="2"/>
      <c r="F567" s="2"/>
      <c r="G567" s="2"/>
      <c r="H567" s="2"/>
      <c r="I567" s="2"/>
    </row>
    <row r="568" ht="15.75" customHeight="1">
      <c r="A568" s="2"/>
      <c r="B568" s="2"/>
      <c r="C568" s="2"/>
      <c r="D568" s="2"/>
      <c r="E568" s="2"/>
      <c r="F568" s="2"/>
      <c r="G568" s="2"/>
      <c r="H568" s="2"/>
      <c r="I568" s="2"/>
    </row>
    <row r="569" ht="15.75" customHeight="1">
      <c r="A569" s="2"/>
      <c r="B569" s="2"/>
      <c r="C569" s="2"/>
      <c r="D569" s="2"/>
      <c r="E569" s="2"/>
      <c r="F569" s="2"/>
      <c r="G569" s="2"/>
      <c r="H569" s="2"/>
      <c r="I569" s="2"/>
    </row>
    <row r="570" ht="15.75" customHeight="1">
      <c r="A570" s="2"/>
      <c r="B570" s="2"/>
      <c r="C570" s="2"/>
      <c r="D570" s="2"/>
      <c r="E570" s="2"/>
      <c r="F570" s="2"/>
      <c r="G570" s="2"/>
      <c r="H570" s="2"/>
      <c r="I570" s="2"/>
    </row>
    <row r="571" ht="15.75" customHeight="1">
      <c r="A571" s="2"/>
      <c r="B571" s="2"/>
      <c r="C571" s="2"/>
      <c r="D571" s="2"/>
      <c r="E571" s="2"/>
      <c r="F571" s="2"/>
      <c r="G571" s="2"/>
      <c r="H571" s="2"/>
      <c r="I571" s="2"/>
    </row>
    <row r="572" ht="15.75" customHeight="1">
      <c r="A572" s="2"/>
      <c r="B572" s="2"/>
      <c r="C572" s="2"/>
      <c r="D572" s="2"/>
      <c r="E572" s="2"/>
      <c r="F572" s="2"/>
      <c r="G572" s="2"/>
      <c r="H572" s="2"/>
      <c r="I572" s="2"/>
    </row>
    <row r="573" ht="15.75" customHeight="1">
      <c r="A573" s="2"/>
      <c r="B573" s="2"/>
      <c r="C573" s="2"/>
      <c r="D573" s="2"/>
      <c r="E573" s="2"/>
      <c r="F573" s="2"/>
      <c r="G573" s="2"/>
      <c r="H573" s="2"/>
      <c r="I573" s="2"/>
    </row>
    <row r="574" ht="15.75" customHeight="1">
      <c r="A574" s="2"/>
      <c r="B574" s="2"/>
      <c r="C574" s="2"/>
      <c r="D574" s="2"/>
      <c r="E574" s="2"/>
      <c r="F574" s="2"/>
      <c r="G574" s="2"/>
      <c r="H574" s="2"/>
      <c r="I574" s="2"/>
    </row>
    <row r="575" ht="15.75" customHeight="1">
      <c r="A575" s="2"/>
      <c r="B575" s="2"/>
      <c r="C575" s="2"/>
      <c r="D575" s="2"/>
      <c r="E575" s="2"/>
      <c r="F575" s="2"/>
      <c r="G575" s="2"/>
      <c r="H575" s="2"/>
      <c r="I575" s="2"/>
    </row>
    <row r="576" ht="15.75" customHeight="1">
      <c r="A576" s="2"/>
      <c r="B576" s="2"/>
      <c r="C576" s="2"/>
      <c r="D576" s="2"/>
      <c r="E576" s="2"/>
      <c r="F576" s="2"/>
      <c r="G576" s="2"/>
      <c r="H576" s="2"/>
      <c r="I576" s="2"/>
    </row>
    <row r="577" ht="15.75" customHeight="1">
      <c r="A577" s="2"/>
      <c r="B577" s="2"/>
      <c r="C577" s="2"/>
      <c r="D577" s="2"/>
      <c r="E577" s="2"/>
      <c r="F577" s="2"/>
      <c r="G577" s="2"/>
      <c r="H577" s="2"/>
      <c r="I577" s="2"/>
    </row>
    <row r="578" ht="15.75" customHeight="1">
      <c r="A578" s="2"/>
      <c r="B578" s="2"/>
      <c r="C578" s="2"/>
      <c r="D578" s="2"/>
      <c r="E578" s="2"/>
      <c r="F578" s="2"/>
      <c r="G578" s="2"/>
      <c r="H578" s="2"/>
      <c r="I578" s="2"/>
    </row>
    <row r="579" ht="15.75" customHeight="1">
      <c r="A579" s="2"/>
      <c r="B579" s="2"/>
      <c r="C579" s="2"/>
      <c r="D579" s="2"/>
      <c r="E579" s="2"/>
      <c r="F579" s="2"/>
      <c r="G579" s="2"/>
      <c r="H579" s="2"/>
      <c r="I579" s="2"/>
    </row>
    <row r="580" ht="15.75" customHeight="1">
      <c r="A580" s="2"/>
      <c r="B580" s="2"/>
      <c r="C580" s="2"/>
      <c r="D580" s="2"/>
      <c r="E580" s="2"/>
      <c r="F580" s="2"/>
      <c r="G580" s="2"/>
      <c r="H580" s="2"/>
      <c r="I580" s="2"/>
    </row>
    <row r="581" ht="15.75" customHeight="1">
      <c r="A581" s="2"/>
      <c r="B581" s="2"/>
      <c r="C581" s="2"/>
      <c r="D581" s="2"/>
      <c r="E581" s="2"/>
      <c r="F581" s="2"/>
      <c r="G581" s="2"/>
      <c r="H581" s="2"/>
      <c r="I581" s="2"/>
    </row>
    <row r="582" ht="15.75" customHeight="1">
      <c r="A582" s="2"/>
      <c r="B582" s="2"/>
      <c r="C582" s="2"/>
      <c r="D582" s="2"/>
      <c r="E582" s="2"/>
      <c r="F582" s="2"/>
      <c r="G582" s="2"/>
      <c r="H582" s="2"/>
      <c r="I582" s="2"/>
    </row>
    <row r="583" ht="15.75" customHeight="1">
      <c r="A583" s="2"/>
      <c r="B583" s="2"/>
      <c r="C583" s="2"/>
      <c r="D583" s="2"/>
      <c r="E583" s="2"/>
      <c r="F583" s="2"/>
      <c r="G583" s="2"/>
      <c r="H583" s="2"/>
      <c r="I583" s="2"/>
    </row>
    <row r="584" ht="15.75" customHeight="1">
      <c r="A584" s="2"/>
      <c r="B584" s="2"/>
      <c r="C584" s="2"/>
      <c r="D584" s="2"/>
      <c r="E584" s="2"/>
      <c r="F584" s="2"/>
      <c r="G584" s="2"/>
      <c r="H584" s="2"/>
      <c r="I584" s="2"/>
    </row>
    <row r="585" ht="15.75" customHeight="1">
      <c r="A585" s="2"/>
      <c r="B585" s="2"/>
      <c r="C585" s="2"/>
      <c r="D585" s="2"/>
      <c r="E585" s="2"/>
      <c r="F585" s="2"/>
      <c r="G585" s="2"/>
      <c r="H585" s="2"/>
      <c r="I585" s="2"/>
    </row>
    <row r="586" ht="15.75" customHeight="1">
      <c r="A586" s="2"/>
      <c r="B586" s="2"/>
      <c r="C586" s="2"/>
      <c r="D586" s="2"/>
      <c r="E586" s="2"/>
      <c r="F586" s="2"/>
      <c r="G586" s="2"/>
      <c r="H586" s="2"/>
      <c r="I586" s="2"/>
    </row>
    <row r="587" ht="15.75" customHeight="1">
      <c r="A587" s="2"/>
      <c r="B587" s="2"/>
      <c r="C587" s="2"/>
      <c r="D587" s="2"/>
      <c r="E587" s="2"/>
      <c r="F587" s="2"/>
      <c r="G587" s="2"/>
      <c r="H587" s="2"/>
      <c r="I587" s="2"/>
    </row>
    <row r="588" ht="15.75" customHeight="1">
      <c r="A588" s="2"/>
      <c r="B588" s="2"/>
      <c r="C588" s="2"/>
      <c r="D588" s="2"/>
      <c r="E588" s="2"/>
      <c r="F588" s="2"/>
      <c r="G588" s="2"/>
      <c r="H588" s="2"/>
      <c r="I588" s="2"/>
    </row>
    <row r="589" ht="15.75" customHeight="1">
      <c r="A589" s="2"/>
      <c r="B589" s="2"/>
      <c r="C589" s="2"/>
      <c r="D589" s="2"/>
      <c r="E589" s="2"/>
      <c r="F589" s="2"/>
      <c r="G589" s="2"/>
      <c r="H589" s="2"/>
      <c r="I589" s="2"/>
    </row>
    <row r="590" ht="15.75" customHeight="1">
      <c r="A590" s="2"/>
      <c r="B590" s="2"/>
      <c r="C590" s="2"/>
      <c r="D590" s="2"/>
      <c r="E590" s="2"/>
      <c r="F590" s="2"/>
      <c r="G590" s="2"/>
      <c r="H590" s="2"/>
      <c r="I590" s="2"/>
    </row>
    <row r="591" ht="15.75" customHeight="1">
      <c r="A591" s="2"/>
      <c r="B591" s="2"/>
      <c r="C591" s="2"/>
      <c r="D591" s="2"/>
      <c r="E591" s="2"/>
      <c r="F591" s="2"/>
      <c r="G591" s="2"/>
      <c r="H591" s="2"/>
      <c r="I591" s="2"/>
    </row>
    <row r="592" ht="15.75" customHeight="1">
      <c r="A592" s="2"/>
      <c r="B592" s="2"/>
      <c r="C592" s="2"/>
      <c r="D592" s="2"/>
      <c r="E592" s="2"/>
      <c r="F592" s="2"/>
      <c r="G592" s="2"/>
      <c r="H592" s="2"/>
      <c r="I592" s="2"/>
    </row>
    <row r="593" ht="15.75" customHeight="1">
      <c r="A593" s="2"/>
      <c r="B593" s="2"/>
      <c r="C593" s="2"/>
      <c r="D593" s="2"/>
      <c r="E593" s="2"/>
      <c r="F593" s="2"/>
      <c r="G593" s="2"/>
      <c r="H593" s="2"/>
      <c r="I593" s="2"/>
    </row>
    <row r="594" ht="15.75" customHeight="1">
      <c r="A594" s="2"/>
      <c r="B594" s="2"/>
      <c r="C594" s="2"/>
      <c r="D594" s="2"/>
      <c r="E594" s="2"/>
      <c r="F594" s="2"/>
      <c r="G594" s="2"/>
      <c r="H594" s="2"/>
      <c r="I594" s="2"/>
    </row>
    <row r="595" ht="15.75" customHeight="1">
      <c r="A595" s="2"/>
      <c r="B595" s="2"/>
      <c r="C595" s="2"/>
      <c r="D595" s="2"/>
      <c r="E595" s="2"/>
      <c r="F595" s="2"/>
      <c r="G595" s="2"/>
      <c r="H595" s="2"/>
      <c r="I595" s="2"/>
    </row>
    <row r="596" ht="15.75" customHeight="1">
      <c r="A596" s="2"/>
      <c r="B596" s="2"/>
      <c r="C596" s="2"/>
      <c r="D596" s="2"/>
      <c r="E596" s="2"/>
      <c r="F596" s="2"/>
      <c r="G596" s="2"/>
      <c r="H596" s="2"/>
      <c r="I596" s="2"/>
    </row>
    <row r="597" ht="15.75" customHeight="1">
      <c r="A597" s="2"/>
      <c r="B597" s="2"/>
      <c r="C597" s="2"/>
      <c r="D597" s="2"/>
      <c r="E597" s="2"/>
      <c r="F597" s="2"/>
      <c r="G597" s="2"/>
      <c r="H597" s="2"/>
      <c r="I597" s="2"/>
    </row>
    <row r="598" ht="15.75" customHeight="1">
      <c r="A598" s="2"/>
      <c r="B598" s="2"/>
      <c r="C598" s="2"/>
      <c r="D598" s="2"/>
      <c r="E598" s="2"/>
      <c r="F598" s="2"/>
      <c r="G598" s="2"/>
      <c r="H598" s="2"/>
      <c r="I598" s="2"/>
    </row>
    <row r="599" ht="15.75" customHeight="1">
      <c r="A599" s="2"/>
      <c r="B599" s="2"/>
      <c r="C599" s="2"/>
      <c r="D599" s="2"/>
      <c r="E599" s="2"/>
      <c r="F599" s="2"/>
      <c r="G599" s="2"/>
      <c r="H599" s="2"/>
      <c r="I599" s="2"/>
    </row>
    <row r="600" ht="15.75" customHeight="1">
      <c r="A600" s="2"/>
      <c r="B600" s="2"/>
      <c r="C600" s="2"/>
      <c r="D600" s="2"/>
      <c r="E600" s="2"/>
      <c r="F600" s="2"/>
      <c r="G600" s="2"/>
      <c r="H600" s="2"/>
      <c r="I600" s="2"/>
    </row>
    <row r="601" ht="15.75" customHeight="1">
      <c r="A601" s="2"/>
      <c r="B601" s="2"/>
      <c r="C601" s="2"/>
      <c r="D601" s="2"/>
      <c r="E601" s="2"/>
      <c r="F601" s="2"/>
      <c r="G601" s="2"/>
      <c r="H601" s="2"/>
      <c r="I601" s="2"/>
    </row>
    <row r="602" ht="15.75" customHeight="1">
      <c r="A602" s="2"/>
      <c r="B602" s="2"/>
      <c r="C602" s="2"/>
      <c r="D602" s="2"/>
      <c r="E602" s="2"/>
      <c r="F602" s="2"/>
      <c r="G602" s="2"/>
      <c r="H602" s="2"/>
      <c r="I602" s="2"/>
    </row>
    <row r="603" ht="15.75" customHeight="1">
      <c r="A603" s="2"/>
      <c r="B603" s="2"/>
      <c r="C603" s="2"/>
      <c r="D603" s="2"/>
      <c r="E603" s="2"/>
      <c r="F603" s="2"/>
      <c r="G603" s="2"/>
      <c r="H603" s="2"/>
      <c r="I603" s="2"/>
    </row>
    <row r="604" ht="15.75" customHeight="1">
      <c r="A604" s="2"/>
      <c r="B604" s="2"/>
      <c r="C604" s="2"/>
      <c r="D604" s="2"/>
      <c r="E604" s="2"/>
      <c r="F604" s="2"/>
      <c r="G604" s="2"/>
      <c r="H604" s="2"/>
      <c r="I604" s="2"/>
    </row>
    <row r="605" ht="15.75" customHeight="1">
      <c r="A605" s="2"/>
      <c r="B605" s="2"/>
      <c r="C605" s="2"/>
      <c r="D605" s="2"/>
      <c r="E605" s="2"/>
      <c r="F605" s="2"/>
      <c r="G605" s="2"/>
      <c r="H605" s="2"/>
      <c r="I605" s="2"/>
    </row>
    <row r="606" ht="15.75" customHeight="1">
      <c r="A606" s="2"/>
      <c r="B606" s="2"/>
      <c r="C606" s="2"/>
      <c r="D606" s="2"/>
      <c r="E606" s="2"/>
      <c r="F606" s="2"/>
      <c r="G606" s="2"/>
      <c r="H606" s="2"/>
      <c r="I606" s="2"/>
    </row>
    <row r="607" ht="15.75" customHeight="1">
      <c r="A607" s="2"/>
      <c r="B607" s="2"/>
      <c r="C607" s="2"/>
      <c r="D607" s="2"/>
      <c r="E607" s="2"/>
      <c r="F607" s="2"/>
      <c r="G607" s="2"/>
      <c r="H607" s="2"/>
      <c r="I607" s="2"/>
    </row>
    <row r="608" ht="15.75" customHeight="1">
      <c r="A608" s="2"/>
      <c r="B608" s="2"/>
      <c r="C608" s="2"/>
      <c r="D608" s="2"/>
      <c r="E608" s="2"/>
      <c r="F608" s="2"/>
      <c r="G608" s="2"/>
      <c r="H608" s="2"/>
      <c r="I608" s="2"/>
    </row>
    <row r="609" ht="15.75" customHeight="1">
      <c r="A609" s="2"/>
      <c r="B609" s="2"/>
      <c r="C609" s="2"/>
      <c r="D609" s="2"/>
      <c r="E609" s="2"/>
      <c r="F609" s="2"/>
      <c r="G609" s="2"/>
      <c r="H609" s="2"/>
      <c r="I609" s="2"/>
    </row>
    <row r="610" ht="15.75" customHeight="1">
      <c r="A610" s="2"/>
      <c r="B610" s="2"/>
      <c r="C610" s="2"/>
      <c r="D610" s="2"/>
      <c r="E610" s="2"/>
      <c r="F610" s="2"/>
      <c r="G610" s="2"/>
      <c r="H610" s="2"/>
      <c r="I610" s="2"/>
    </row>
    <row r="611" ht="15.75" customHeight="1">
      <c r="A611" s="2"/>
      <c r="B611" s="2"/>
      <c r="C611" s="2"/>
      <c r="D611" s="2"/>
      <c r="E611" s="2"/>
      <c r="F611" s="2"/>
      <c r="G611" s="2"/>
      <c r="H611" s="2"/>
      <c r="I611" s="2"/>
    </row>
    <row r="612" ht="15.75" customHeight="1">
      <c r="A612" s="2"/>
      <c r="B612" s="2"/>
      <c r="C612" s="2"/>
      <c r="D612" s="2"/>
      <c r="E612" s="2"/>
      <c r="F612" s="2"/>
      <c r="G612" s="2"/>
      <c r="H612" s="2"/>
      <c r="I612" s="2"/>
    </row>
    <row r="613" ht="15.75" customHeight="1">
      <c r="A613" s="2"/>
      <c r="B613" s="2"/>
      <c r="C613" s="2"/>
      <c r="D613" s="2"/>
      <c r="E613" s="2"/>
      <c r="F613" s="2"/>
      <c r="G613" s="2"/>
      <c r="H613" s="2"/>
      <c r="I613" s="2"/>
    </row>
    <row r="614" ht="15.75" customHeight="1">
      <c r="A614" s="2"/>
      <c r="B614" s="2"/>
      <c r="C614" s="2"/>
      <c r="D614" s="2"/>
      <c r="E614" s="2"/>
      <c r="F614" s="2"/>
      <c r="G614" s="2"/>
      <c r="H614" s="2"/>
      <c r="I614" s="2"/>
    </row>
    <row r="615" ht="15.75" customHeight="1">
      <c r="A615" s="2"/>
      <c r="B615" s="2"/>
      <c r="C615" s="2"/>
      <c r="D615" s="2"/>
      <c r="E615" s="2"/>
      <c r="F615" s="2"/>
      <c r="G615" s="2"/>
      <c r="H615" s="2"/>
      <c r="I615" s="2"/>
    </row>
    <row r="616" ht="15.75" customHeight="1">
      <c r="A616" s="2"/>
      <c r="B616" s="2"/>
      <c r="C616" s="2"/>
      <c r="D616" s="2"/>
      <c r="E616" s="2"/>
      <c r="F616" s="2"/>
      <c r="G616" s="2"/>
      <c r="H616" s="2"/>
      <c r="I616" s="2"/>
    </row>
    <row r="617" ht="15.75" customHeight="1">
      <c r="A617" s="2"/>
      <c r="B617" s="2"/>
      <c r="C617" s="2"/>
      <c r="D617" s="2"/>
      <c r="E617" s="2"/>
      <c r="F617" s="2"/>
      <c r="G617" s="2"/>
      <c r="H617" s="2"/>
      <c r="I617" s="2"/>
    </row>
    <row r="618" ht="15.75" customHeight="1">
      <c r="A618" s="2"/>
      <c r="B618" s="2"/>
      <c r="C618" s="2"/>
      <c r="D618" s="2"/>
      <c r="E618" s="2"/>
      <c r="F618" s="2"/>
      <c r="G618" s="2"/>
      <c r="H618" s="2"/>
      <c r="I618" s="2"/>
    </row>
    <row r="619" ht="15.75" customHeight="1">
      <c r="A619" s="2"/>
      <c r="B619" s="2"/>
      <c r="C619" s="2"/>
      <c r="D619" s="2"/>
      <c r="E619" s="2"/>
      <c r="F619" s="2"/>
      <c r="G619" s="2"/>
      <c r="H619" s="2"/>
      <c r="I619" s="2"/>
    </row>
    <row r="620" ht="15.75" customHeight="1">
      <c r="A620" s="2"/>
      <c r="B620" s="2"/>
      <c r="C620" s="2"/>
      <c r="D620" s="2"/>
      <c r="E620" s="2"/>
      <c r="F620" s="2"/>
      <c r="G620" s="2"/>
      <c r="H620" s="2"/>
      <c r="I620" s="2"/>
    </row>
    <row r="621" ht="15.75" customHeight="1">
      <c r="A621" s="2"/>
      <c r="B621" s="2"/>
      <c r="C621" s="2"/>
      <c r="D621" s="2"/>
      <c r="E621" s="2"/>
      <c r="F621" s="2"/>
      <c r="G621" s="2"/>
      <c r="H621" s="2"/>
      <c r="I621" s="2"/>
    </row>
    <row r="622" ht="15.75" customHeight="1">
      <c r="A622" s="2"/>
      <c r="B622" s="2"/>
      <c r="C622" s="2"/>
      <c r="D622" s="2"/>
      <c r="E622" s="2"/>
      <c r="F622" s="2"/>
      <c r="G622" s="2"/>
      <c r="H622" s="2"/>
      <c r="I622" s="2"/>
    </row>
    <row r="623" ht="15.75" customHeight="1">
      <c r="A623" s="2"/>
      <c r="B623" s="2"/>
      <c r="C623" s="2"/>
      <c r="D623" s="2"/>
      <c r="E623" s="2"/>
      <c r="F623" s="2"/>
      <c r="G623" s="2"/>
      <c r="H623" s="2"/>
      <c r="I623" s="2"/>
    </row>
    <row r="624" ht="15.75" customHeight="1">
      <c r="A624" s="2"/>
      <c r="B624" s="2"/>
      <c r="C624" s="2"/>
      <c r="D624" s="2"/>
      <c r="E624" s="2"/>
      <c r="F624" s="2"/>
      <c r="G624" s="2"/>
      <c r="H624" s="2"/>
      <c r="I624" s="2"/>
    </row>
    <row r="625" ht="15.75" customHeight="1">
      <c r="A625" s="2"/>
      <c r="B625" s="2"/>
      <c r="C625" s="2"/>
      <c r="D625" s="2"/>
      <c r="E625" s="2"/>
      <c r="F625" s="2"/>
      <c r="G625" s="2"/>
      <c r="H625" s="2"/>
      <c r="I625" s="2"/>
    </row>
    <row r="626" ht="15.75" customHeight="1">
      <c r="A626" s="2"/>
      <c r="B626" s="2"/>
      <c r="C626" s="2"/>
      <c r="D626" s="2"/>
      <c r="E626" s="2"/>
      <c r="F626" s="2"/>
      <c r="G626" s="2"/>
      <c r="H626" s="2"/>
      <c r="I626" s="2"/>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mergeCells count="7">
    <mergeCell ref="A33:I33"/>
    <mergeCell ref="A34:I34"/>
    <mergeCell ref="B36:I36"/>
    <mergeCell ref="B37:I37"/>
    <mergeCell ref="B38:I38"/>
    <mergeCell ref="B39:I39"/>
    <mergeCell ref="B40:I40"/>
  </mergeCells>
  <dataValidations>
    <dataValidation type="decimal" allowBlank="1" showInputMessage="1" showErrorMessage="1" prompt="Nhập tỷ lệ từ 0% đến 90%." sqref="B27">
      <formula1>0.0</formula1>
      <formula2>0.9</formula2>
    </dataValidation>
    <dataValidation type="list" allowBlank="1" sqref="B6">
      <formula1>"Theo người dùng,Theo lượt dùng,Theo kết quả,Kết hợp (phí cố định + vượt hạn mức)"</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0"/>
    <col customWidth="1" min="2" max="4" width="18.0"/>
    <col customWidth="1" min="5" max="5" width="14.0"/>
    <col customWidth="1" min="6" max="6" width="50.0"/>
    <col customWidth="1" min="7" max="7" width="56.0"/>
    <col customWidth="1" min="8" max="26" width="8.71"/>
  </cols>
  <sheetData>
    <row r="1" ht="17.25" customHeight="1">
      <c r="A1" s="1" t="s">
        <v>259</v>
      </c>
      <c r="B1" s="2"/>
      <c r="C1" s="2"/>
      <c r="D1" s="2"/>
      <c r="E1" s="2"/>
      <c r="F1" s="2"/>
      <c r="G1" s="2"/>
    </row>
    <row r="2" ht="15.0" customHeight="1">
      <c r="A2" s="5" t="s">
        <v>260</v>
      </c>
      <c r="B2" s="2"/>
      <c r="C2" s="2"/>
      <c r="D2" s="2"/>
      <c r="E2" s="2"/>
      <c r="F2" s="2"/>
      <c r="G2" s="2"/>
    </row>
    <row r="3">
      <c r="A3" s="2"/>
      <c r="B3" s="2"/>
      <c r="C3" s="2"/>
      <c r="D3" s="2"/>
      <c r="E3" s="2"/>
      <c r="F3" s="2"/>
      <c r="G3" s="2"/>
    </row>
    <row r="4" ht="15.0" customHeight="1">
      <c r="A4" s="11" t="s">
        <v>261</v>
      </c>
      <c r="B4" s="11" t="s">
        <v>262</v>
      </c>
      <c r="C4" s="11" t="s">
        <v>263</v>
      </c>
      <c r="D4" s="11" t="s">
        <v>264</v>
      </c>
      <c r="E4" s="11" t="s">
        <v>69</v>
      </c>
      <c r="F4" s="11" t="s">
        <v>71</v>
      </c>
      <c r="G4" s="11" t="s">
        <v>265</v>
      </c>
    </row>
    <row r="5" ht="31.5" customHeight="1">
      <c r="A5" s="18" t="s">
        <v>266</v>
      </c>
      <c r="B5" s="68">
        <v>1.1</v>
      </c>
      <c r="C5" s="68">
        <v>1.0</v>
      </c>
      <c r="D5" s="68">
        <v>0.8</v>
      </c>
      <c r="E5" s="22" t="s">
        <v>267</v>
      </c>
      <c r="F5" s="69" t="s">
        <v>268</v>
      </c>
      <c r="G5" s="24" t="s">
        <v>269</v>
      </c>
    </row>
    <row r="6" ht="31.5" customHeight="1">
      <c r="A6" s="18" t="s">
        <v>270</v>
      </c>
      <c r="B6" s="68">
        <v>0.9</v>
      </c>
      <c r="C6" s="68">
        <v>1.0</v>
      </c>
      <c r="D6" s="68">
        <v>1.2</v>
      </c>
      <c r="E6" s="22" t="s">
        <v>267</v>
      </c>
      <c r="F6" s="69"/>
      <c r="G6" s="24" t="s">
        <v>271</v>
      </c>
    </row>
    <row r="7" ht="31.5" customHeight="1">
      <c r="A7" s="18" t="s">
        <v>272</v>
      </c>
      <c r="B7" s="70">
        <f>C7*1.3</f>
        <v>390</v>
      </c>
      <c r="C7" s="71">
        <v>300.0</v>
      </c>
      <c r="D7" s="70">
        <f>C7*0.5</f>
        <v>150</v>
      </c>
      <c r="E7" s="22" t="s">
        <v>284</v>
      </c>
      <c r="F7" s="23" t="s">
        <v>88</v>
      </c>
      <c r="G7" s="24" t="s">
        <v>288</v>
      </c>
    </row>
    <row r="8" ht="46.5" customHeight="1">
      <c r="A8" s="18" t="s">
        <v>289</v>
      </c>
      <c r="B8" s="72">
        <f>C8*1.6</f>
        <v>0.128</v>
      </c>
      <c r="C8" s="32">
        <v>0.08</v>
      </c>
      <c r="D8" s="72">
        <f>C8*0.4</f>
        <v>0.032</v>
      </c>
      <c r="E8" s="22" t="s">
        <v>119</v>
      </c>
      <c r="F8" s="23" t="s">
        <v>88</v>
      </c>
      <c r="G8" s="24" t="s">
        <v>290</v>
      </c>
    </row>
    <row r="9" ht="43.5" customHeight="1">
      <c r="A9" s="18" t="s">
        <v>291</v>
      </c>
      <c r="B9" s="72">
        <f>C9*0.6</f>
        <v>0.09</v>
      </c>
      <c r="C9" s="32">
        <v>0.15</v>
      </c>
      <c r="D9" s="72">
        <f>C9*1.6</f>
        <v>0.24</v>
      </c>
      <c r="E9" s="22" t="s">
        <v>119</v>
      </c>
      <c r="F9" s="23" t="s">
        <v>292</v>
      </c>
      <c r="G9" s="24" t="s">
        <v>293</v>
      </c>
    </row>
    <row r="10" ht="31.5" customHeight="1">
      <c r="A10" s="18" t="s">
        <v>294</v>
      </c>
      <c r="B10" s="73">
        <f>C10*0.8</f>
        <v>560000</v>
      </c>
      <c r="C10" s="74">
        <v>700000.0</v>
      </c>
      <c r="D10" s="73">
        <f>C10*1.5</f>
        <v>1050000</v>
      </c>
      <c r="E10" s="22" t="s">
        <v>295</v>
      </c>
      <c r="F10" s="23" t="s">
        <v>296</v>
      </c>
      <c r="G10" s="24" t="s">
        <v>297</v>
      </c>
    </row>
    <row r="11" ht="46.5" customHeight="1">
      <c r="A11" s="18" t="s">
        <v>298</v>
      </c>
      <c r="B11" s="73">
        <f t="shared" ref="B11:B13" si="1">C11</f>
        <v>120000000</v>
      </c>
      <c r="C11" s="74">
        <v>1.2E8</v>
      </c>
      <c r="D11" s="73">
        <f t="shared" ref="D11:D13" si="2">C11</f>
        <v>120000000</v>
      </c>
      <c r="E11" s="22" t="s">
        <v>213</v>
      </c>
      <c r="F11" s="23" t="s">
        <v>299</v>
      </c>
      <c r="G11" s="9" t="s">
        <v>300</v>
      </c>
    </row>
    <row r="12" ht="76.5" customHeight="1">
      <c r="A12" s="7" t="s">
        <v>301</v>
      </c>
      <c r="B12" s="73">
        <f t="shared" si="1"/>
        <v>400000000</v>
      </c>
      <c r="C12" s="74">
        <v>4.0E8</v>
      </c>
      <c r="D12" s="73">
        <f t="shared" si="2"/>
        <v>400000000</v>
      </c>
      <c r="E12" s="22" t="s">
        <v>122</v>
      </c>
      <c r="F12" s="23" t="s">
        <v>302</v>
      </c>
      <c r="G12" s="9" t="s">
        <v>303</v>
      </c>
    </row>
    <row r="13" ht="31.5" customHeight="1">
      <c r="A13" s="18" t="s">
        <v>304</v>
      </c>
      <c r="B13" s="73">
        <f t="shared" si="1"/>
        <v>1500000000</v>
      </c>
      <c r="C13" s="74">
        <v>1.5E9</v>
      </c>
      <c r="D13" s="73">
        <f t="shared" si="2"/>
        <v>1500000000</v>
      </c>
      <c r="E13" s="22" t="s">
        <v>122</v>
      </c>
      <c r="F13" s="23" t="s">
        <v>88</v>
      </c>
      <c r="G13" s="24" t="s">
        <v>305</v>
      </c>
    </row>
    <row r="14" ht="15.75" customHeight="1">
      <c r="A14" s="16" t="s">
        <v>306</v>
      </c>
      <c r="B14" s="72">
        <v>0.15</v>
      </c>
      <c r="C14" s="72">
        <v>0.15</v>
      </c>
      <c r="D14" s="72">
        <v>0.15</v>
      </c>
      <c r="E14" s="22" t="s">
        <v>119</v>
      </c>
      <c r="F14" s="75" t="s">
        <v>307</v>
      </c>
      <c r="G14" s="24" t="s">
        <v>308</v>
      </c>
    </row>
    <row r="15">
      <c r="A15" s="2"/>
      <c r="B15" s="2"/>
      <c r="C15" s="2"/>
      <c r="D15" s="2"/>
      <c r="E15" s="2"/>
      <c r="F15" s="2"/>
      <c r="G15" s="2"/>
    </row>
    <row r="16" ht="15.0" customHeight="1">
      <c r="A16" s="8" t="s">
        <v>309</v>
      </c>
      <c r="B16" s="2"/>
      <c r="C16" s="2"/>
      <c r="D16" s="2"/>
      <c r="E16" s="2"/>
      <c r="F16" s="2"/>
      <c r="G16" s="2"/>
    </row>
    <row r="17" ht="15.0" customHeight="1">
      <c r="A17" s="27" t="s">
        <v>310</v>
      </c>
      <c r="B17" s="33">
        <f>'2_Định giá'!D17*B5*(1-'2_Định giá'!$B$27)</f>
        <v>153450</v>
      </c>
      <c r="C17" s="33">
        <f>'2_Định giá'!D17*C5*(1-'2_Định giá'!$B$27)</f>
        <v>139500</v>
      </c>
      <c r="D17" s="33">
        <f>'2_Định giá'!D17*D5*(1-'2_Định giá'!$B$27)</f>
        <v>111600</v>
      </c>
      <c r="E17" s="2"/>
      <c r="F17" s="2"/>
      <c r="G17" s="2"/>
    </row>
    <row r="18" ht="15.0" customHeight="1">
      <c r="A18" s="27" t="s">
        <v>311</v>
      </c>
      <c r="B18" s="33">
        <f>'2_Định giá'!E17*B6</f>
        <v>13229.69386</v>
      </c>
      <c r="C18" s="33">
        <f>'2_Định giá'!E17*C6</f>
        <v>14699.65984</v>
      </c>
      <c r="D18" s="33">
        <f>'2_Định giá'!E17*D6</f>
        <v>17639.59181</v>
      </c>
      <c r="E18" s="2"/>
      <c r="F18" s="2"/>
      <c r="G18" s="2"/>
    </row>
    <row r="19" ht="15.0" customHeight="1">
      <c r="A19" s="40" t="s">
        <v>312</v>
      </c>
      <c r="B19" s="2"/>
      <c r="C19" s="2"/>
      <c r="D19" s="2"/>
      <c r="E19" s="2"/>
      <c r="F19" s="2"/>
      <c r="G19" s="2"/>
    </row>
    <row r="20" ht="15.0" customHeight="1">
      <c r="A20" s="8" t="s">
        <v>313</v>
      </c>
      <c r="B20" s="2"/>
      <c r="C20" s="2"/>
      <c r="D20" s="2"/>
      <c r="E20" s="2"/>
      <c r="F20" s="2"/>
      <c r="G20" s="2"/>
    </row>
    <row r="21" ht="15.0" customHeight="1">
      <c r="A21" s="2" t="s">
        <v>314</v>
      </c>
      <c r="B21" s="37" t="str">
        <f t="shared" ref="B21:B22" si="3">IF(C9=0,"Chưa điền",IF(D9&gt;=1.5*C9,"Đạt","Chưa đủ sốc"))</f>
        <v>Đạt</v>
      </c>
      <c r="C21" s="2"/>
      <c r="D21" s="2"/>
      <c r="E21" s="2"/>
      <c r="F21" s="2"/>
      <c r="G21" s="2"/>
    </row>
    <row r="22" ht="15.0" customHeight="1">
      <c r="A22" s="2" t="s">
        <v>315</v>
      </c>
      <c r="B22" s="37" t="str">
        <f t="shared" si="3"/>
        <v>Đạt</v>
      </c>
      <c r="C22" s="2"/>
      <c r="D22" s="2"/>
      <c r="E22" s="2"/>
      <c r="F22" s="2"/>
      <c r="G22" s="2"/>
    </row>
    <row r="23" ht="15.75" customHeight="1">
      <c r="A23" s="2"/>
      <c r="B23" s="2"/>
      <c r="C23" s="2"/>
      <c r="D23" s="2"/>
      <c r="E23" s="2"/>
      <c r="F23" s="2"/>
      <c r="G23" s="2"/>
    </row>
    <row r="24" ht="15.75" customHeight="1">
      <c r="A24" s="2"/>
      <c r="B24" s="2"/>
      <c r="C24" s="2"/>
      <c r="D24" s="2"/>
      <c r="E24" s="2"/>
      <c r="F24" s="2"/>
      <c r="G24" s="2"/>
    </row>
    <row r="25" ht="15.75" customHeight="1">
      <c r="A25" s="2"/>
      <c r="B25" s="2"/>
      <c r="C25" s="2"/>
      <c r="D25" s="2"/>
      <c r="E25" s="2"/>
      <c r="F25" s="2"/>
      <c r="G25" s="2"/>
    </row>
    <row r="26" ht="15.75" customHeight="1">
      <c r="A26" s="2"/>
      <c r="B26" s="2"/>
      <c r="C26" s="2"/>
      <c r="D26" s="2"/>
      <c r="E26" s="2"/>
      <c r="F26" s="2"/>
      <c r="G26" s="2"/>
    </row>
    <row r="27" ht="15.75" customHeight="1">
      <c r="A27" s="2"/>
      <c r="B27" s="2"/>
      <c r="C27" s="2"/>
      <c r="D27" s="2"/>
      <c r="E27" s="2"/>
      <c r="F27" s="2"/>
      <c r="G27" s="2"/>
    </row>
    <row r="28" ht="15.75" customHeight="1">
      <c r="A28" s="2"/>
      <c r="B28" s="2"/>
      <c r="C28" s="2"/>
      <c r="D28" s="2"/>
      <c r="E28" s="2"/>
      <c r="F28" s="2"/>
      <c r="G28" s="2"/>
    </row>
    <row r="29" ht="15.75" customHeight="1">
      <c r="A29" s="2"/>
      <c r="B29" s="2"/>
      <c r="C29" s="2"/>
      <c r="D29" s="2"/>
      <c r="E29" s="2"/>
      <c r="F29" s="2"/>
      <c r="G29" s="2"/>
    </row>
    <row r="30" ht="15.75" customHeight="1">
      <c r="A30" s="2"/>
      <c r="B30" s="2"/>
      <c r="C30" s="2"/>
      <c r="D30" s="2"/>
      <c r="E30" s="2"/>
      <c r="F30" s="2"/>
      <c r="G30" s="2"/>
    </row>
    <row r="31" ht="15.75" customHeight="1">
      <c r="A31" s="2"/>
      <c r="B31" s="2"/>
      <c r="C31" s="2"/>
      <c r="D31" s="2"/>
      <c r="E31" s="2"/>
      <c r="F31" s="2"/>
      <c r="G31" s="2"/>
    </row>
    <row r="32" ht="15.75" customHeight="1">
      <c r="A32" s="2"/>
      <c r="B32" s="2"/>
      <c r="C32" s="2"/>
      <c r="D32" s="2"/>
      <c r="E32" s="2"/>
      <c r="F32" s="2"/>
      <c r="G32" s="2"/>
    </row>
    <row r="33" ht="15.75" customHeight="1">
      <c r="A33" s="2"/>
      <c r="B33" s="2"/>
      <c r="C33" s="2"/>
      <c r="D33" s="2"/>
      <c r="E33" s="2"/>
      <c r="F33" s="2"/>
      <c r="G33" s="2"/>
    </row>
    <row r="34" ht="15.75" customHeight="1">
      <c r="A34" s="2"/>
      <c r="B34" s="2"/>
      <c r="C34" s="2"/>
      <c r="D34" s="2"/>
      <c r="E34" s="2"/>
      <c r="F34" s="2"/>
      <c r="G34" s="2"/>
    </row>
    <row r="35" ht="15.75" customHeight="1">
      <c r="A35" s="2"/>
      <c r="B35" s="2"/>
      <c r="C35" s="2"/>
      <c r="D35" s="2"/>
      <c r="E35" s="2"/>
      <c r="F35" s="2"/>
      <c r="G35" s="2"/>
    </row>
    <row r="36" ht="15.75" customHeight="1">
      <c r="A36" s="2"/>
      <c r="B36" s="2"/>
      <c r="C36" s="2"/>
      <c r="D36" s="2"/>
      <c r="E36" s="2"/>
      <c r="F36" s="2"/>
      <c r="G36" s="2"/>
    </row>
    <row r="37" ht="15.75" customHeight="1">
      <c r="A37" s="2"/>
      <c r="B37" s="2"/>
      <c r="C37" s="2"/>
      <c r="D37" s="2"/>
      <c r="E37" s="2"/>
      <c r="F37" s="2"/>
      <c r="G37" s="2"/>
    </row>
    <row r="38" ht="15.75" customHeight="1">
      <c r="A38" s="2"/>
      <c r="B38" s="2"/>
      <c r="C38" s="2"/>
      <c r="D38" s="2"/>
      <c r="E38" s="2"/>
      <c r="F38" s="2"/>
      <c r="G38" s="2"/>
    </row>
    <row r="39" ht="15.75" customHeight="1">
      <c r="A39" s="2"/>
      <c r="B39" s="2"/>
      <c r="C39" s="2"/>
      <c r="D39" s="2"/>
      <c r="E39" s="2"/>
      <c r="F39" s="2"/>
      <c r="G39" s="2"/>
    </row>
    <row r="40" ht="15.75" customHeight="1">
      <c r="A40" s="2"/>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2"/>
      <c r="B43" s="2"/>
      <c r="C43" s="2"/>
      <c r="D43" s="2"/>
      <c r="E43" s="2"/>
      <c r="F43" s="2"/>
      <c r="G43" s="2"/>
    </row>
    <row r="44" ht="15.75" customHeight="1">
      <c r="A44" s="2"/>
      <c r="B44" s="2"/>
      <c r="C44" s="2"/>
      <c r="D44" s="2"/>
      <c r="E44" s="2"/>
      <c r="F44" s="2"/>
      <c r="G44" s="2"/>
    </row>
    <row r="45" ht="15.75" customHeight="1">
      <c r="A45" s="2"/>
      <c r="B45" s="2"/>
      <c r="C45" s="2"/>
      <c r="D45" s="2"/>
      <c r="E45" s="2"/>
      <c r="F45" s="2"/>
      <c r="G45" s="2"/>
    </row>
    <row r="46" ht="15.75" customHeight="1">
      <c r="A46" s="2"/>
      <c r="B46" s="2"/>
      <c r="C46" s="2"/>
      <c r="D46" s="2"/>
      <c r="E46" s="2"/>
      <c r="F46" s="2"/>
      <c r="G46" s="2"/>
    </row>
    <row r="47" ht="15.75" customHeight="1">
      <c r="A47" s="2"/>
      <c r="B47" s="2"/>
      <c r="C47" s="2"/>
      <c r="D47" s="2"/>
      <c r="E47" s="2"/>
      <c r="F47" s="2"/>
      <c r="G47" s="2"/>
    </row>
    <row r="48" ht="15.75" customHeight="1">
      <c r="A48" s="2"/>
      <c r="B48" s="2"/>
      <c r="C48" s="2"/>
      <c r="D48" s="2"/>
      <c r="E48" s="2"/>
      <c r="F48" s="2"/>
      <c r="G48" s="2"/>
    </row>
    <row r="49" ht="15.75" customHeight="1">
      <c r="A49" s="2"/>
      <c r="B49" s="2"/>
      <c r="C49" s="2"/>
      <c r="D49" s="2"/>
      <c r="E49" s="2"/>
      <c r="F49" s="2"/>
      <c r="G49" s="2"/>
    </row>
    <row r="50" ht="15.75" customHeight="1">
      <c r="A50" s="2"/>
      <c r="B50" s="2"/>
      <c r="C50" s="2"/>
      <c r="D50" s="2"/>
      <c r="E50" s="2"/>
      <c r="F50" s="2"/>
      <c r="G50" s="2"/>
    </row>
    <row r="51" ht="15.75" customHeight="1">
      <c r="A51" s="2"/>
      <c r="B51" s="2"/>
      <c r="C51" s="2"/>
      <c r="D51" s="2"/>
      <c r="E51" s="2"/>
      <c r="F51" s="2"/>
      <c r="G51" s="2"/>
    </row>
    <row r="52" ht="15.75" customHeight="1">
      <c r="A52" s="2"/>
      <c r="B52" s="2"/>
      <c r="C52" s="2"/>
      <c r="D52" s="2"/>
      <c r="E52" s="2"/>
      <c r="F52" s="2"/>
      <c r="G52" s="2"/>
    </row>
    <row r="53" ht="15.75" customHeight="1">
      <c r="A53" s="2"/>
      <c r="B53" s="2"/>
      <c r="C53" s="2"/>
      <c r="D53" s="2"/>
      <c r="E53" s="2"/>
      <c r="F53" s="2"/>
      <c r="G53" s="2"/>
    </row>
    <row r="54" ht="15.75" customHeight="1">
      <c r="A54" s="2"/>
      <c r="B54" s="2"/>
      <c r="C54" s="2"/>
      <c r="D54" s="2"/>
      <c r="E54" s="2"/>
      <c r="F54" s="2"/>
      <c r="G54" s="2"/>
    </row>
    <row r="55" ht="15.75" customHeight="1">
      <c r="A55" s="2"/>
      <c r="B55" s="2"/>
      <c r="C55" s="2"/>
      <c r="D55" s="2"/>
      <c r="E55" s="2"/>
      <c r="F55" s="2"/>
      <c r="G55" s="2"/>
    </row>
    <row r="56" ht="15.75" customHeight="1">
      <c r="A56" s="2"/>
      <c r="B56" s="2"/>
      <c r="C56" s="2"/>
      <c r="D56" s="2"/>
      <c r="E56" s="2"/>
      <c r="F56" s="2"/>
      <c r="G56" s="2"/>
    </row>
    <row r="57" ht="15.75" customHeight="1">
      <c r="A57" s="2"/>
      <c r="B57" s="2"/>
      <c r="C57" s="2"/>
      <c r="D57" s="2"/>
      <c r="E57" s="2"/>
      <c r="F57" s="2"/>
      <c r="G57" s="2"/>
    </row>
    <row r="58" ht="15.75" customHeight="1">
      <c r="A58" s="2"/>
      <c r="B58" s="2"/>
      <c r="C58" s="2"/>
      <c r="D58" s="2"/>
      <c r="E58" s="2"/>
      <c r="F58" s="2"/>
      <c r="G58" s="2"/>
    </row>
    <row r="59" ht="15.75" customHeight="1">
      <c r="A59" s="2"/>
      <c r="B59" s="2"/>
      <c r="C59" s="2"/>
      <c r="D59" s="2"/>
      <c r="E59" s="2"/>
      <c r="F59" s="2"/>
      <c r="G59" s="2"/>
    </row>
    <row r="60" ht="15.75" customHeight="1">
      <c r="A60" s="2"/>
      <c r="B60" s="2"/>
      <c r="C60" s="2"/>
      <c r="D60" s="2"/>
      <c r="E60" s="2"/>
      <c r="F60" s="2"/>
      <c r="G60" s="2"/>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0.0"/>
    <col customWidth="1" min="2" max="4" width="18.0"/>
    <col customWidth="1" min="5" max="5" width="20.0"/>
    <col customWidth="1" min="6" max="26" width="8.71"/>
  </cols>
  <sheetData>
    <row r="1" ht="17.25" customHeight="1">
      <c r="A1" s="1" t="s">
        <v>316</v>
      </c>
      <c r="B1" s="2"/>
      <c r="C1" s="2"/>
      <c r="D1" s="2"/>
      <c r="E1" s="2"/>
    </row>
    <row r="2" ht="15.0" customHeight="1">
      <c r="A2" s="5" t="s">
        <v>317</v>
      </c>
      <c r="B2" s="2"/>
      <c r="C2" s="2"/>
      <c r="D2" s="2"/>
      <c r="E2" s="2"/>
    </row>
    <row r="3">
      <c r="A3" s="2"/>
      <c r="B3" s="2"/>
      <c r="C3" s="2"/>
      <c r="D3" s="2"/>
      <c r="E3" s="2"/>
    </row>
    <row r="4" ht="15.0" customHeight="1">
      <c r="A4" s="11" t="s">
        <v>318</v>
      </c>
      <c r="B4" s="11" t="s">
        <v>262</v>
      </c>
      <c r="C4" s="11" t="s">
        <v>263</v>
      </c>
      <c r="D4" s="11" t="s">
        <v>264</v>
      </c>
      <c r="E4" s="11" t="s">
        <v>319</v>
      </c>
    </row>
    <row r="5" ht="15.0" customHeight="1">
      <c r="A5" s="27" t="s">
        <v>310</v>
      </c>
      <c r="B5" s="33">
        <f>'3_Giả định'!B17</f>
        <v>153450</v>
      </c>
      <c r="C5" s="33">
        <f>'3_Giả định'!C17</f>
        <v>139500</v>
      </c>
      <c r="D5" s="33">
        <f>'3_Giả định'!D17</f>
        <v>111600</v>
      </c>
      <c r="E5" s="2"/>
    </row>
    <row r="6" ht="15.0" customHeight="1">
      <c r="A6" s="27" t="s">
        <v>320</v>
      </c>
      <c r="B6" s="33">
        <f>'3_Giả định'!B17-'3_Giả định'!B18</f>
        <v>140220.3061</v>
      </c>
      <c r="C6" s="33">
        <f>'3_Giả định'!C17-'3_Giả định'!C18</f>
        <v>124800.3402</v>
      </c>
      <c r="D6" s="33">
        <f>'3_Giả định'!D17-'3_Giả định'!D18</f>
        <v>93960.40819</v>
      </c>
      <c r="E6" s="2"/>
    </row>
    <row r="7" ht="15.0" customHeight="1">
      <c r="A7" s="27" t="s">
        <v>157</v>
      </c>
      <c r="B7" s="38">
        <f t="shared" ref="B7:D7" si="1">IFERROR(B6/B5,0)</f>
        <v>0.9137849863</v>
      </c>
      <c r="C7" s="38">
        <f t="shared" si="1"/>
        <v>0.8946260943</v>
      </c>
      <c r="D7" s="38">
        <f t="shared" si="1"/>
        <v>0.8419391415</v>
      </c>
      <c r="E7" s="2" t="s">
        <v>321</v>
      </c>
    </row>
    <row r="8" ht="15.0" customHeight="1">
      <c r="A8" s="27" t="s">
        <v>322</v>
      </c>
      <c r="B8" s="76">
        <f>IFERROR(1/'3_Giả định'!B9,0)</f>
        <v>11.11111111</v>
      </c>
      <c r="C8" s="76">
        <f>IFERROR(1/'3_Giả định'!C9,0)</f>
        <v>6.666666667</v>
      </c>
      <c r="D8" s="76">
        <f>IFERROR(1/'3_Giả định'!D9,0)</f>
        <v>4.166666667</v>
      </c>
      <c r="E8" s="2"/>
    </row>
    <row r="9" ht="15.0" customHeight="1">
      <c r="A9" s="27" t="s">
        <v>323</v>
      </c>
      <c r="B9" s="33">
        <f t="shared" ref="B9:D9" si="2">B6*B8</f>
        <v>1558003.402</v>
      </c>
      <c r="C9" s="33">
        <f t="shared" si="2"/>
        <v>832002.2677</v>
      </c>
      <c r="D9" s="33">
        <f t="shared" si="2"/>
        <v>391501.7008</v>
      </c>
      <c r="E9" s="2"/>
    </row>
    <row r="10" ht="15.0" customHeight="1">
      <c r="A10" s="27" t="s">
        <v>324</v>
      </c>
      <c r="B10" s="33">
        <f>'3_Giả định'!B10</f>
        <v>560000</v>
      </c>
      <c r="C10" s="33">
        <f>'3_Giả định'!C10</f>
        <v>700000</v>
      </c>
      <c r="D10" s="33">
        <f>'3_Giả định'!D10</f>
        <v>1050000</v>
      </c>
      <c r="E10" s="2"/>
    </row>
    <row r="11" ht="15.0" customHeight="1">
      <c r="A11" s="27" t="s">
        <v>325</v>
      </c>
      <c r="B11" s="77">
        <f t="shared" ref="B11:D11" si="3">IFERROR(B9/B10,0)</f>
        <v>2.782148931</v>
      </c>
      <c r="C11" s="77">
        <f t="shared" si="3"/>
        <v>1.188574668</v>
      </c>
      <c r="D11" s="77">
        <f t="shared" si="3"/>
        <v>0.3728587627</v>
      </c>
      <c r="E11" s="4" t="s">
        <v>326</v>
      </c>
    </row>
    <row r="12" ht="15.0" customHeight="1">
      <c r="A12" s="27" t="s">
        <v>327</v>
      </c>
      <c r="B12" s="76">
        <f t="shared" ref="B12:D12" si="4">IFERROR(B10/B6,0)</f>
        <v>3.993715428</v>
      </c>
      <c r="C12" s="76">
        <f t="shared" si="4"/>
        <v>5.608959071</v>
      </c>
      <c r="D12" s="76">
        <f t="shared" si="4"/>
        <v>11.17491952</v>
      </c>
      <c r="E12" s="2" t="s">
        <v>328</v>
      </c>
    </row>
    <row r="13" ht="15.0" customHeight="1">
      <c r="A13" s="27" t="s">
        <v>329</v>
      </c>
      <c r="B13" s="78" t="str">
        <f t="shared" ref="B13:D13" si="5">IF(B5&lt;=0,"Chưa điền trang 2–3",IF(B6&lt;=0,"Lỗ trên từng khách",IF(AND(B11&gt;3,B12&lt;12,B7&gt;=0.6),"Khỏe",IF(B11&gt;=1,"Cần cải thiện","Đốt tiền"))))</f>
        <v>Cần cải thiện</v>
      </c>
      <c r="C13" s="78" t="str">
        <f t="shared" si="5"/>
        <v>Cần cải thiện</v>
      </c>
      <c r="D13" s="78" t="str">
        <f t="shared" si="5"/>
        <v>Đốt tiền</v>
      </c>
      <c r="E13" s="2"/>
    </row>
    <row r="14">
      <c r="A14" s="2"/>
      <c r="B14" s="2"/>
      <c r="C14" s="2"/>
      <c r="D14" s="2"/>
      <c r="E14" s="2"/>
    </row>
    <row r="15">
      <c r="A15" s="2"/>
      <c r="B15" s="2"/>
      <c r="C15" s="2"/>
      <c r="D15" s="2"/>
      <c r="E15" s="2"/>
    </row>
    <row r="16">
      <c r="A16" s="2"/>
      <c r="B16" s="2"/>
      <c r="C16" s="2"/>
      <c r="D16" s="2"/>
      <c r="E16" s="2"/>
    </row>
    <row r="17">
      <c r="A17" s="2"/>
      <c r="B17" s="2"/>
      <c r="C17" s="2"/>
      <c r="D17" s="2"/>
      <c r="E17" s="2"/>
    </row>
    <row r="18">
      <c r="A18" s="2"/>
      <c r="B18" s="2"/>
      <c r="C18" s="2"/>
      <c r="D18" s="2"/>
      <c r="E18" s="2"/>
    </row>
    <row r="19">
      <c r="A19" s="2"/>
      <c r="B19" s="2"/>
      <c r="C19" s="2"/>
      <c r="D19" s="2"/>
      <c r="E19" s="2"/>
    </row>
    <row r="20">
      <c r="A20" s="2"/>
      <c r="B20" s="2"/>
      <c r="C20" s="2"/>
      <c r="D20" s="2"/>
      <c r="E20" s="2"/>
    </row>
    <row r="21" ht="15.75" customHeight="1">
      <c r="A21" s="2"/>
      <c r="B21" s="2"/>
      <c r="C21" s="2"/>
      <c r="D21" s="2"/>
      <c r="E21" s="2"/>
    </row>
    <row r="22" ht="15.75" customHeight="1">
      <c r="A22" s="2"/>
      <c r="B22" s="2"/>
      <c r="C22" s="2"/>
      <c r="D22" s="2"/>
      <c r="E22" s="2"/>
    </row>
    <row r="23" ht="15.75" customHeight="1">
      <c r="A23" s="2"/>
      <c r="B23" s="2"/>
      <c r="C23" s="2"/>
      <c r="D23" s="2"/>
      <c r="E23" s="2"/>
    </row>
    <row r="24" ht="15.75" customHeight="1">
      <c r="A24" s="2"/>
      <c r="B24" s="2"/>
      <c r="C24" s="2"/>
      <c r="D24" s="2"/>
      <c r="E24" s="2"/>
    </row>
    <row r="25" ht="15.75" customHeight="1">
      <c r="A25" s="2"/>
      <c r="B25" s="2"/>
      <c r="C25" s="2"/>
      <c r="D25" s="2"/>
      <c r="E25" s="2"/>
    </row>
    <row r="26" ht="15.75" customHeight="1">
      <c r="A26" s="2"/>
      <c r="B26" s="2"/>
      <c r="C26" s="2"/>
      <c r="D26" s="2"/>
      <c r="E26" s="2"/>
    </row>
    <row r="27" ht="15.75" customHeight="1">
      <c r="A27" s="2"/>
      <c r="B27" s="2"/>
      <c r="C27" s="2"/>
      <c r="D27" s="2"/>
      <c r="E27" s="2"/>
    </row>
    <row r="28" ht="15.75" customHeight="1">
      <c r="A28" s="2"/>
      <c r="B28" s="2"/>
      <c r="C28" s="2"/>
      <c r="D28" s="2"/>
      <c r="E28" s="2"/>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outlineLevelRow="1"/>
  <cols>
    <col customWidth="1" min="1" max="1" width="38.0"/>
    <col customWidth="1" min="2" max="26" width="18.0"/>
  </cols>
  <sheetData>
    <row r="1" ht="17.25" customHeight="1">
      <c r="A1" s="1" t="s">
        <v>330</v>
      </c>
      <c r="B1" s="2"/>
      <c r="C1" s="2"/>
      <c r="D1" s="2"/>
      <c r="E1" s="2"/>
      <c r="F1" s="2"/>
      <c r="G1" s="2"/>
      <c r="H1" s="2"/>
      <c r="I1" s="2"/>
      <c r="J1" s="2"/>
      <c r="K1" s="2"/>
      <c r="L1" s="2"/>
      <c r="M1" s="2"/>
      <c r="N1" s="2"/>
      <c r="O1" s="2"/>
      <c r="P1" s="2"/>
      <c r="Q1" s="2"/>
      <c r="R1" s="2"/>
      <c r="S1" s="2"/>
      <c r="T1" s="2"/>
      <c r="U1" s="2"/>
      <c r="V1" s="2"/>
      <c r="W1" s="2"/>
      <c r="X1" s="2"/>
      <c r="Y1" s="2"/>
      <c r="Z1" s="2"/>
    </row>
    <row r="2" ht="15.0" customHeight="1">
      <c r="A2" s="5" t="s">
        <v>331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15.0" customHeight="1">
      <c r="A4" s="11" t="s">
        <v>332</v>
      </c>
      <c r="B4" s="11" t="s">
        <v>333</v>
      </c>
      <c r="C4" s="11" t="s">
        <v>334</v>
      </c>
      <c r="D4" s="11" t="s">
        <v>335</v>
      </c>
      <c r="E4" s="11" t="s">
        <v>336</v>
      </c>
      <c r="F4" s="11" t="s">
        <v>337</v>
      </c>
      <c r="G4" s="11" t="s">
        <v>338</v>
      </c>
      <c r="H4" s="11" t="s">
        <v>339</v>
      </c>
      <c r="I4" s="11" t="s">
        <v>340</v>
      </c>
      <c r="J4" s="11" t="s">
        <v>341</v>
      </c>
      <c r="K4" s="11" t="s">
        <v>342</v>
      </c>
      <c r="L4" s="11" t="s">
        <v>343</v>
      </c>
      <c r="M4" s="11" t="s">
        <v>344</v>
      </c>
      <c r="N4" s="11" t="s">
        <v>345</v>
      </c>
      <c r="O4" s="11" t="s">
        <v>346</v>
      </c>
      <c r="P4" s="11" t="s">
        <v>347</v>
      </c>
      <c r="Q4" s="11" t="s">
        <v>348</v>
      </c>
      <c r="R4" s="11" t="s">
        <v>349</v>
      </c>
      <c r="S4" s="11" t="s">
        <v>350</v>
      </c>
      <c r="T4" s="11" t="s">
        <v>351</v>
      </c>
      <c r="U4" s="11" t="s">
        <v>352</v>
      </c>
      <c r="V4" s="11" t="s">
        <v>353</v>
      </c>
      <c r="W4" s="11" t="s">
        <v>354</v>
      </c>
      <c r="X4" s="11" t="s">
        <v>355</v>
      </c>
      <c r="Y4" s="11" t="s">
        <v>356</v>
      </c>
      <c r="Z4" s="11" t="s">
        <v>357</v>
      </c>
    </row>
    <row r="5" ht="15.0" customHeight="1">
      <c r="A5" s="79" t="s">
        <v>358</v>
      </c>
      <c r="B5" s="2"/>
      <c r="C5" s="2"/>
      <c r="D5" s="2"/>
      <c r="E5" s="2"/>
      <c r="F5" s="2"/>
      <c r="G5" s="2"/>
      <c r="H5" s="2"/>
      <c r="I5" s="2"/>
      <c r="J5" s="2"/>
      <c r="K5" s="2"/>
      <c r="L5" s="2"/>
      <c r="M5" s="2"/>
      <c r="N5" s="2"/>
      <c r="O5" s="2"/>
      <c r="P5" s="2"/>
      <c r="Q5" s="2"/>
      <c r="R5" s="2"/>
      <c r="S5" s="2"/>
      <c r="T5" s="2"/>
      <c r="U5" s="2"/>
      <c r="V5" s="2"/>
      <c r="W5" s="2"/>
      <c r="X5" s="2"/>
      <c r="Y5" s="2"/>
      <c r="Z5" s="2"/>
    </row>
    <row r="6" ht="15.0" customHeight="1">
      <c r="A6" s="27" t="s">
        <v>359</v>
      </c>
      <c r="B6" s="2"/>
      <c r="C6" s="80">
        <f>'3_Giả định'!$B$7*(1+'3_Giả định'!$B$8)^0</f>
        <v>390</v>
      </c>
      <c r="D6" s="80">
        <f>'3_Giả định'!$B$7*(1+'3_Giả định'!$B$8)^1</f>
        <v>439.92</v>
      </c>
      <c r="E6" s="80">
        <f>'3_Giả định'!$B$7*(1+'3_Giả định'!$B$8)^2</f>
        <v>496.22976</v>
      </c>
      <c r="F6" s="80">
        <f>'3_Giả định'!$B$7*(1+'3_Giả định'!$B$8)^3</f>
        <v>559.7471693</v>
      </c>
      <c r="G6" s="80">
        <f>'3_Giả định'!$B$7*(1+'3_Giả định'!$B$8)^4</f>
        <v>631.3948069</v>
      </c>
      <c r="H6" s="80">
        <f>'3_Giả định'!$B$7*(1+'3_Giả định'!$B$8)^5</f>
        <v>712.2133422</v>
      </c>
      <c r="I6" s="80">
        <f>'3_Giả định'!$B$7*(1+'3_Giả định'!$B$8)^6</f>
        <v>803.37665</v>
      </c>
      <c r="J6" s="80">
        <f>'3_Giả định'!$B$7*(1+'3_Giả định'!$B$8)^7</f>
        <v>906.2088612</v>
      </c>
      <c r="K6" s="80">
        <f>'3_Giả định'!$B$7*(1+'3_Giả định'!$B$8)^8</f>
        <v>1022.203595</v>
      </c>
      <c r="L6" s="80">
        <f>'3_Giả định'!$B$7*(1+'3_Giả định'!$B$8)^9</f>
        <v>1153.045656</v>
      </c>
      <c r="M6" s="80">
        <f>'3_Giả định'!$B$7*(1+'3_Giả định'!$B$8)^10</f>
        <v>1300.6355</v>
      </c>
      <c r="N6" s="80">
        <f>'3_Giả định'!$B$7*(1+'3_Giả định'!$B$8)^11</f>
        <v>1467.116844</v>
      </c>
      <c r="O6" s="80">
        <f>'3_Giả định'!$B$7*(1+'3_Giả định'!$B$8)^12</f>
        <v>1654.9078</v>
      </c>
      <c r="P6" s="80">
        <f>'3_Giả định'!$B$7*(1+'3_Giả định'!$B$8)^13</f>
        <v>1866.735998</v>
      </c>
      <c r="Q6" s="80">
        <f>'3_Giả định'!$B$7*(1+'3_Giả định'!$B$8)^14</f>
        <v>2105.678206</v>
      </c>
      <c r="R6" s="80">
        <f>'3_Giả định'!$B$7*(1+'3_Giả định'!$B$8)^15</f>
        <v>2375.205016</v>
      </c>
      <c r="S6" s="80">
        <f>'3_Giả định'!$B$7*(1+'3_Giả định'!$B$8)^16</f>
        <v>2679.231258</v>
      </c>
      <c r="T6" s="80">
        <f>'3_Giả định'!$B$7*(1+'3_Giả định'!$B$8)^17</f>
        <v>3022.172859</v>
      </c>
      <c r="U6" s="80">
        <f>'3_Giả định'!$B$7*(1+'3_Giả định'!$B$8)^18</f>
        <v>3409.010985</v>
      </c>
      <c r="V6" s="80">
        <f>'3_Giả định'!$B$7*(1+'3_Giả định'!$B$8)^19</f>
        <v>3845.364391</v>
      </c>
      <c r="W6" s="80">
        <f>'3_Giả định'!$B$7*(1+'3_Giả định'!$B$8)^20</f>
        <v>4337.571033</v>
      </c>
      <c r="X6" s="80">
        <f>'3_Giả định'!$B$7*(1+'3_Giả định'!$B$8)^21</f>
        <v>4892.780125</v>
      </c>
      <c r="Y6" s="80">
        <f>'3_Giả định'!$B$7*(1+'3_Giả định'!$B$8)^22</f>
        <v>5519.055981</v>
      </c>
      <c r="Z6" s="80">
        <f>'3_Giả định'!$B$7*(1+'3_Giả định'!$B$8)^23</f>
        <v>6225.495147</v>
      </c>
    </row>
    <row r="7" ht="15.0" customHeight="1">
      <c r="A7" s="27" t="s">
        <v>389</v>
      </c>
      <c r="B7" s="2">
        <v>0.0</v>
      </c>
      <c r="C7" s="80">
        <f>B7*(1-'3_Giả định'!$B$9)+C6</f>
        <v>390</v>
      </c>
      <c r="D7" s="80">
        <f>C7*(1-'3_Giả định'!$B$9)+D6</f>
        <v>794.82</v>
      </c>
      <c r="E7" s="80">
        <f>D7*(1-'3_Giả định'!$B$9)+E6</f>
        <v>1219.51596</v>
      </c>
      <c r="F7" s="80">
        <f>E7*(1-'3_Giả định'!$B$9)+F6</f>
        <v>1669.506693</v>
      </c>
      <c r="G7" s="80">
        <f>F7*(1-'3_Giả định'!$B$9)+G6</f>
        <v>2150.645897</v>
      </c>
      <c r="H7" s="80">
        <f>G7*(1-'3_Giả định'!$B$9)+H6</f>
        <v>2669.301109</v>
      </c>
      <c r="I7" s="80">
        <f>H7*(1-'3_Giả định'!$B$9)+I6</f>
        <v>3232.440659</v>
      </c>
      <c r="J7" s="80">
        <f>I7*(1-'3_Giả định'!$B$9)+J6</f>
        <v>3847.729861</v>
      </c>
      <c r="K7" s="80">
        <f>J7*(1-'3_Giả định'!$B$9)+K6</f>
        <v>4523.637769</v>
      </c>
      <c r="L7" s="80">
        <f>K7*(1-'3_Giả định'!$B$9)+L6</f>
        <v>5269.556026</v>
      </c>
      <c r="M7" s="80">
        <f>L7*(1-'3_Giả định'!$B$9)+M6</f>
        <v>6095.931483</v>
      </c>
      <c r="N7" s="80">
        <f>M7*(1-'3_Giả định'!$B$9)+N6</f>
        <v>7014.414493</v>
      </c>
      <c r="O7" s="80">
        <f>N7*(1-'3_Giả định'!$B$9)+O6</f>
        <v>8038.024988</v>
      </c>
      <c r="P7" s="80">
        <f>O7*(1-'3_Giả định'!$B$9)+P6</f>
        <v>9181.338737</v>
      </c>
      <c r="Q7" s="80">
        <f>P7*(1-'3_Giả định'!$B$9)+Q6</f>
        <v>10460.69646</v>
      </c>
      <c r="R7" s="80">
        <f>Q7*(1-'3_Giả định'!$B$9)+R6</f>
        <v>11894.43879</v>
      </c>
      <c r="S7" s="80">
        <f>R7*(1-'3_Giả định'!$B$9)+S6</f>
        <v>13503.17056</v>
      </c>
      <c r="T7" s="80">
        <f>S7*(1-'3_Giả định'!$B$9)+T6</f>
        <v>15310.05807</v>
      </c>
      <c r="U7" s="80">
        <f>T7*(1-'3_Giả định'!$B$9)+U6</f>
        <v>17341.16383</v>
      </c>
      <c r="V7" s="80">
        <f>U7*(1-'3_Giả định'!$B$9)+V6</f>
        <v>19625.82347</v>
      </c>
      <c r="W7" s="80">
        <f>V7*(1-'3_Giả định'!$B$9)+W6</f>
        <v>22197.07039</v>
      </c>
      <c r="X7" s="80">
        <f>W7*(1-'3_Giả định'!$B$9)+X6</f>
        <v>25092.11418</v>
      </c>
      <c r="Y7" s="80">
        <f>X7*(1-'3_Giả định'!$B$9)+Y6</f>
        <v>28352.87989</v>
      </c>
      <c r="Z7" s="80">
        <f>Y7*(1-'3_Giả định'!$B$9)+Z6</f>
        <v>32026.61585</v>
      </c>
    </row>
    <row r="8" ht="15.0" customHeight="1">
      <c r="A8" s="27" t="s">
        <v>99</v>
      </c>
      <c r="B8" s="2"/>
      <c r="C8" s="84">
        <f>C7*'3_Giả định'!$B$17</f>
        <v>59845500</v>
      </c>
      <c r="D8" s="84">
        <f>D7*'3_Giả định'!$B$17</f>
        <v>121965129</v>
      </c>
      <c r="E8" s="84">
        <f>E7*'3_Giả định'!$B$17</f>
        <v>187134724.1</v>
      </c>
      <c r="F8" s="84">
        <f>F7*'3_Giả định'!$B$17</f>
        <v>256185802</v>
      </c>
      <c r="G8" s="84">
        <f>G7*'3_Giả định'!$B$17</f>
        <v>330016613</v>
      </c>
      <c r="H8" s="84">
        <f>H7*'3_Giả định'!$B$17</f>
        <v>409604255.2</v>
      </c>
      <c r="I8" s="84">
        <f>I7*'3_Giả định'!$B$17</f>
        <v>496018019.2</v>
      </c>
      <c r="J8" s="84">
        <f>J7*'3_Giả định'!$B$17</f>
        <v>590434147.2</v>
      </c>
      <c r="K8" s="84">
        <f>K7*'3_Giả định'!$B$17</f>
        <v>694152215.7</v>
      </c>
      <c r="L8" s="84">
        <f>L7*'3_Giả định'!$B$17</f>
        <v>808613372.1</v>
      </c>
      <c r="M8" s="84">
        <f>M7*'3_Giả định'!$B$17</f>
        <v>935420686.1</v>
      </c>
      <c r="N8" s="84">
        <f>N7*'3_Giả định'!$B$17</f>
        <v>1076361904</v>
      </c>
      <c r="O8" s="84">
        <f>O7*'3_Giả định'!$B$17</f>
        <v>1233434934</v>
      </c>
      <c r="P8" s="84">
        <f>P7*'3_Giả định'!$B$17</f>
        <v>1408876429</v>
      </c>
      <c r="Q8" s="84">
        <f>Q7*'3_Giả định'!$B$17</f>
        <v>1605193871</v>
      </c>
      <c r="R8" s="84">
        <f>R7*'3_Giả định'!$B$17</f>
        <v>1825201633</v>
      </c>
      <c r="S8" s="84">
        <f>S7*'3_Giả định'!$B$17</f>
        <v>2072061522</v>
      </c>
      <c r="T8" s="84">
        <f>T7*'3_Giả định'!$B$17</f>
        <v>2349328410</v>
      </c>
      <c r="U8" s="84">
        <f>U7*'3_Giả định'!$B$17</f>
        <v>2661001589</v>
      </c>
      <c r="V8" s="84">
        <f>V7*'3_Giả định'!$B$17</f>
        <v>3011582612</v>
      </c>
      <c r="W8" s="84">
        <f>W7*'3_Giả định'!$B$17</f>
        <v>3406140452</v>
      </c>
      <c r="X8" s="84">
        <f>X7*'3_Giả định'!$B$17</f>
        <v>3850384921</v>
      </c>
      <c r="Y8" s="84">
        <f>Y7*'3_Giả định'!$B$17</f>
        <v>4350749419</v>
      </c>
      <c r="Z8" s="84">
        <f>Z7*'3_Giả định'!$B$17</f>
        <v>4914484201</v>
      </c>
    </row>
    <row r="9" ht="15.0" customHeight="1">
      <c r="A9" s="27" t="s">
        <v>394</v>
      </c>
      <c r="B9" s="2"/>
      <c r="C9" s="84">
        <f>C7*'3_Giả định'!$B$18</f>
        <v>5159580.604</v>
      </c>
      <c r="D9" s="84">
        <f>D7*'3_Giả định'!$B$18</f>
        <v>10515225.27</v>
      </c>
      <c r="E9" s="84">
        <f>E7*'3_Giả định'!$B$18</f>
        <v>16133822.8</v>
      </c>
      <c r="F9" s="84">
        <f>F7*'3_Giả định'!$B$18</f>
        <v>22087062.44</v>
      </c>
      <c r="G9" s="84">
        <f>G7*'3_Giả định'!$B$18</f>
        <v>28452386.82</v>
      </c>
      <c r="H9" s="84">
        <f>H7*'3_Giả định'!$B$18</f>
        <v>35314036.48</v>
      </c>
      <c r="I9" s="84">
        <f>I7*'3_Giả định'!$B$18</f>
        <v>42764200.33</v>
      </c>
      <c r="J9" s="84">
        <f>J7*'3_Giả định'!$B$18</f>
        <v>50904288.1</v>
      </c>
      <c r="K9" s="84">
        <f>K7*'3_Giả định'!$B$18</f>
        <v>59846342.8</v>
      </c>
      <c r="L9" s="84">
        <f>L7*'3_Giả định'!$B$18</f>
        <v>69714612.98</v>
      </c>
      <c r="M9" s="84">
        <f>M7*'3_Giả định'!$B$18</f>
        <v>80647307.29</v>
      </c>
      <c r="N9" s="84">
        <f>N7*'3_Giả định'!$B$18</f>
        <v>92798556.32</v>
      </c>
      <c r="O9" s="84">
        <f>O7*'3_Giả định'!$B$18</f>
        <v>106340609.8</v>
      </c>
      <c r="P9" s="84">
        <f>P7*'3_Giả định'!$B$18</f>
        <v>121466300.7</v>
      </c>
      <c r="Q9" s="84">
        <f>Q7*'3_Giả định'!$B$18</f>
        <v>138391811.6</v>
      </c>
      <c r="R9" s="84">
        <f>R7*'3_Giả định'!$B$18</f>
        <v>157359783.8</v>
      </c>
      <c r="S9" s="84">
        <f>S7*'3_Giả định'!$B$18</f>
        <v>178642812.6</v>
      </c>
      <c r="T9" s="84">
        <f>T7*'3_Giả định'!$B$18</f>
        <v>202547381.1</v>
      </c>
      <c r="U9" s="84">
        <f>U7*'3_Giả định'!$B$18</f>
        <v>229418288.5</v>
      </c>
      <c r="V9" s="84">
        <f>V7*'3_Giả định'!$B$18</f>
        <v>259643636.2</v>
      </c>
      <c r="W9" s="84">
        <f>W7*'3_Giả định'!$B$18</f>
        <v>293660445.8</v>
      </c>
      <c r="X9" s="84">
        <f>X7*'3_Giả định'!$B$18</f>
        <v>331960988.8</v>
      </c>
      <c r="Y9" s="84">
        <f>Y7*'3_Giả định'!$B$18</f>
        <v>375099920.9</v>
      </c>
      <c r="Z9" s="84">
        <f>Z7*'3_Giả định'!$B$18</f>
        <v>423702322.9</v>
      </c>
    </row>
    <row r="10" ht="15.0" customHeight="1">
      <c r="A10" s="27" t="s">
        <v>140</v>
      </c>
      <c r="B10" s="2"/>
      <c r="C10" s="84">
        <f t="shared" ref="C10:Z10" si="1">C8-C9</f>
        <v>54685919.4</v>
      </c>
      <c r="D10" s="84">
        <f t="shared" si="1"/>
        <v>111449903.7</v>
      </c>
      <c r="E10" s="84">
        <f t="shared" si="1"/>
        <v>171000901.3</v>
      </c>
      <c r="F10" s="84">
        <f t="shared" si="1"/>
        <v>234098739.6</v>
      </c>
      <c r="G10" s="84">
        <f t="shared" si="1"/>
        <v>301564226.2</v>
      </c>
      <c r="H10" s="84">
        <f t="shared" si="1"/>
        <v>374290218.7</v>
      </c>
      <c r="I10" s="84">
        <f t="shared" si="1"/>
        <v>453253818.8</v>
      </c>
      <c r="J10" s="84">
        <f t="shared" si="1"/>
        <v>539529859.1</v>
      </c>
      <c r="K10" s="84">
        <f t="shared" si="1"/>
        <v>634305872.9</v>
      </c>
      <c r="L10" s="84">
        <f t="shared" si="1"/>
        <v>738898759.1</v>
      </c>
      <c r="M10" s="84">
        <f t="shared" si="1"/>
        <v>854773378.8</v>
      </c>
      <c r="N10" s="84">
        <f t="shared" si="1"/>
        <v>983563347.6</v>
      </c>
      <c r="O10" s="84">
        <f t="shared" si="1"/>
        <v>1127094325</v>
      </c>
      <c r="P10" s="84">
        <f t="shared" si="1"/>
        <v>1287410129</v>
      </c>
      <c r="Q10" s="84">
        <f t="shared" si="1"/>
        <v>1466802060</v>
      </c>
      <c r="R10" s="84">
        <f t="shared" si="1"/>
        <v>1667841849</v>
      </c>
      <c r="S10" s="84">
        <f t="shared" si="1"/>
        <v>1893418710</v>
      </c>
      <c r="T10" s="84">
        <f t="shared" si="1"/>
        <v>2146781029</v>
      </c>
      <c r="U10" s="84">
        <f t="shared" si="1"/>
        <v>2431583301</v>
      </c>
      <c r="V10" s="84">
        <f t="shared" si="1"/>
        <v>2751938976</v>
      </c>
      <c r="W10" s="84">
        <f t="shared" si="1"/>
        <v>3112480006</v>
      </c>
      <c r="X10" s="84">
        <f t="shared" si="1"/>
        <v>3518423933</v>
      </c>
      <c r="Y10" s="84">
        <f t="shared" si="1"/>
        <v>3975649498</v>
      </c>
      <c r="Z10" s="84">
        <f t="shared" si="1"/>
        <v>4490781879</v>
      </c>
    </row>
    <row r="11" ht="15.0" customHeight="1">
      <c r="A11" s="27" t="s">
        <v>403</v>
      </c>
      <c r="B11" s="2"/>
      <c r="C11" s="84">
        <f>C6*'3_Giả định'!$B$10</f>
        <v>218400000</v>
      </c>
      <c r="D11" s="84">
        <f>D6*'3_Giả định'!$B$10</f>
        <v>246355200</v>
      </c>
      <c r="E11" s="84">
        <f>E6*'3_Giả định'!$B$10</f>
        <v>277888665.6</v>
      </c>
      <c r="F11" s="84">
        <f>F6*'3_Giả định'!$B$10</f>
        <v>313458414.8</v>
      </c>
      <c r="G11" s="84">
        <f>G6*'3_Giả định'!$B$10</f>
        <v>353581091.9</v>
      </c>
      <c r="H11" s="84">
        <f>H6*'3_Giả định'!$B$10</f>
        <v>398839471.7</v>
      </c>
      <c r="I11" s="84">
        <f>I6*'3_Giả định'!$B$10</f>
        <v>449890924</v>
      </c>
      <c r="J11" s="84">
        <f>J6*'3_Giả định'!$B$10</f>
        <v>507476962.3</v>
      </c>
      <c r="K11" s="84">
        <f>K6*'3_Giả định'!$B$10</f>
        <v>572434013.5</v>
      </c>
      <c r="L11" s="84">
        <f>L6*'3_Giả định'!$B$10</f>
        <v>645705567.2</v>
      </c>
      <c r="M11" s="84">
        <f>M6*'3_Giả định'!$B$10</f>
        <v>728355879.8</v>
      </c>
      <c r="N11" s="84">
        <f>N6*'3_Giả định'!$B$10</f>
        <v>821585432.4</v>
      </c>
      <c r="O11" s="84">
        <f>O6*'3_Giả định'!$B$10</f>
        <v>926748367.8</v>
      </c>
      <c r="P11" s="84">
        <f>P6*'3_Giả định'!$B$10</f>
        <v>1045372159</v>
      </c>
      <c r="Q11" s="84">
        <f>Q6*'3_Giả định'!$B$10</f>
        <v>1179179795</v>
      </c>
      <c r="R11" s="84">
        <f>R6*'3_Giả định'!$B$10</f>
        <v>1330114809</v>
      </c>
      <c r="S11" s="84">
        <f>S6*'3_Giả định'!$B$10</f>
        <v>1500369504</v>
      </c>
      <c r="T11" s="84">
        <f>T6*'3_Giả định'!$B$10</f>
        <v>1692416801</v>
      </c>
      <c r="U11" s="84">
        <f>U6*'3_Giả định'!$B$10</f>
        <v>1909046152</v>
      </c>
      <c r="V11" s="84">
        <f>V6*'3_Giả định'!$B$10</f>
        <v>2153404059</v>
      </c>
      <c r="W11" s="84">
        <f>W6*'3_Giả định'!$B$10</f>
        <v>2429039779</v>
      </c>
      <c r="X11" s="84">
        <f>X6*'3_Giả định'!$B$10</f>
        <v>2739956870</v>
      </c>
      <c r="Y11" s="84">
        <f>Y6*'3_Giả định'!$B$10</f>
        <v>3090671350</v>
      </c>
      <c r="Z11" s="84">
        <f>Z6*'3_Giả định'!$B$10</f>
        <v>3486277282</v>
      </c>
    </row>
    <row r="12" ht="15.0" customHeight="1">
      <c r="A12" s="27" t="s">
        <v>411</v>
      </c>
      <c r="B12" s="2"/>
      <c r="C12" s="84">
        <f>'3_Giả định'!$B$11</f>
        <v>120000000</v>
      </c>
      <c r="D12" s="84">
        <f>'3_Giả định'!$B$11</f>
        <v>120000000</v>
      </c>
      <c r="E12" s="84">
        <f>'3_Giả định'!$B$11</f>
        <v>120000000</v>
      </c>
      <c r="F12" s="84">
        <f>'3_Giả định'!$B$11</f>
        <v>120000000</v>
      </c>
      <c r="G12" s="84">
        <f>'3_Giả định'!$B$11</f>
        <v>120000000</v>
      </c>
      <c r="H12" s="84">
        <f>'3_Giả định'!$B$11</f>
        <v>120000000</v>
      </c>
      <c r="I12" s="84">
        <f>'3_Giả định'!$B$11</f>
        <v>120000000</v>
      </c>
      <c r="J12" s="84">
        <f>'3_Giả định'!$B$11</f>
        <v>120000000</v>
      </c>
      <c r="K12" s="84">
        <f>'3_Giả định'!$B$11</f>
        <v>120000000</v>
      </c>
      <c r="L12" s="84">
        <f>'3_Giả định'!$B$11</f>
        <v>120000000</v>
      </c>
      <c r="M12" s="84">
        <f>'3_Giả định'!$B$11</f>
        <v>120000000</v>
      </c>
      <c r="N12" s="84">
        <f>'3_Giả định'!$B$11</f>
        <v>120000000</v>
      </c>
      <c r="O12" s="84">
        <f>'3_Giả định'!$B$11</f>
        <v>120000000</v>
      </c>
      <c r="P12" s="84">
        <f>'3_Giả định'!$B$11</f>
        <v>120000000</v>
      </c>
      <c r="Q12" s="84">
        <f>'3_Giả định'!$B$11</f>
        <v>120000000</v>
      </c>
      <c r="R12" s="84">
        <f>'3_Giả định'!$B$11</f>
        <v>120000000</v>
      </c>
      <c r="S12" s="84">
        <f>'3_Giả định'!$B$11</f>
        <v>120000000</v>
      </c>
      <c r="T12" s="84">
        <f>'3_Giả định'!$B$11</f>
        <v>120000000</v>
      </c>
      <c r="U12" s="84">
        <f>'3_Giả định'!$B$11</f>
        <v>120000000</v>
      </c>
      <c r="V12" s="84">
        <f>'3_Giả định'!$B$11</f>
        <v>120000000</v>
      </c>
      <c r="W12" s="84">
        <f>'3_Giả định'!$B$11</f>
        <v>120000000</v>
      </c>
      <c r="X12" s="84">
        <f>'3_Giả định'!$B$11</f>
        <v>120000000</v>
      </c>
      <c r="Y12" s="84">
        <f>'3_Giả định'!$B$11</f>
        <v>120000000</v>
      </c>
      <c r="Z12" s="84">
        <f>'3_Giả định'!$B$11</f>
        <v>120000000</v>
      </c>
    </row>
    <row r="13" ht="15.0" customHeight="1">
      <c r="A13" s="27" t="s">
        <v>416</v>
      </c>
      <c r="B13" s="84">
        <f>-'3_Giả định'!$B$12</f>
        <v>-400000000</v>
      </c>
      <c r="C13" s="84">
        <f t="shared" ref="C13:Z13" si="2">C10-C11-C12</f>
        <v>-283714080.6</v>
      </c>
      <c r="D13" s="84">
        <f t="shared" si="2"/>
        <v>-254905296.3</v>
      </c>
      <c r="E13" s="84">
        <f t="shared" si="2"/>
        <v>-226887764.3</v>
      </c>
      <c r="F13" s="84">
        <f t="shared" si="2"/>
        <v>-199359675.2</v>
      </c>
      <c r="G13" s="84">
        <f t="shared" si="2"/>
        <v>-172016865.7</v>
      </c>
      <c r="H13" s="84">
        <f t="shared" si="2"/>
        <v>-144549253</v>
      </c>
      <c r="I13" s="84">
        <f t="shared" si="2"/>
        <v>-116637105.2</v>
      </c>
      <c r="J13" s="84">
        <f t="shared" si="2"/>
        <v>-87947103.22</v>
      </c>
      <c r="K13" s="84">
        <f t="shared" si="2"/>
        <v>-58128140.61</v>
      </c>
      <c r="L13" s="84">
        <f t="shared" si="2"/>
        <v>-26806808.05</v>
      </c>
      <c r="M13" s="84">
        <f t="shared" si="2"/>
        <v>6417498.968</v>
      </c>
      <c r="N13" s="84">
        <f t="shared" si="2"/>
        <v>41977915.22</v>
      </c>
      <c r="O13" s="84">
        <f t="shared" si="2"/>
        <v>80345956.88</v>
      </c>
      <c r="P13" s="84">
        <f t="shared" si="2"/>
        <v>122037969.7</v>
      </c>
      <c r="Q13" s="84">
        <f t="shared" si="2"/>
        <v>167622264.4</v>
      </c>
      <c r="R13" s="84">
        <f t="shared" si="2"/>
        <v>217727039.8</v>
      </c>
      <c r="S13" s="84">
        <f t="shared" si="2"/>
        <v>273049205.1</v>
      </c>
      <c r="T13" s="84">
        <f t="shared" si="2"/>
        <v>334364228.2</v>
      </c>
      <c r="U13" s="84">
        <f t="shared" si="2"/>
        <v>402537149</v>
      </c>
      <c r="V13" s="84">
        <f t="shared" si="2"/>
        <v>478534916.7</v>
      </c>
      <c r="W13" s="84">
        <f t="shared" si="2"/>
        <v>563440227.5</v>
      </c>
      <c r="X13" s="84">
        <f t="shared" si="2"/>
        <v>658467062.4</v>
      </c>
      <c r="Y13" s="84">
        <f t="shared" si="2"/>
        <v>764978148.4</v>
      </c>
      <c r="Z13" s="84">
        <f t="shared" si="2"/>
        <v>884504596.2</v>
      </c>
    </row>
    <row r="14" ht="15.0" customHeight="1">
      <c r="A14" s="27" t="s">
        <v>417</v>
      </c>
      <c r="B14" s="84">
        <f>'3_Giả định'!$B$13+B13</f>
        <v>1100000000</v>
      </c>
      <c r="C14" s="84">
        <f t="shared" ref="C14:Z14" si="3">B14+C13</f>
        <v>816285919.4</v>
      </c>
      <c r="D14" s="84">
        <f t="shared" si="3"/>
        <v>561380623.1</v>
      </c>
      <c r="E14" s="84">
        <f t="shared" si="3"/>
        <v>334492858.8</v>
      </c>
      <c r="F14" s="84">
        <f t="shared" si="3"/>
        <v>135133183.6</v>
      </c>
      <c r="G14" s="84">
        <f t="shared" si="3"/>
        <v>-36883682.17</v>
      </c>
      <c r="H14" s="84">
        <f t="shared" si="3"/>
        <v>-181432935.1</v>
      </c>
      <c r="I14" s="84">
        <f t="shared" si="3"/>
        <v>-298070040.3</v>
      </c>
      <c r="J14" s="84">
        <f t="shared" si="3"/>
        <v>-386017143.6</v>
      </c>
      <c r="K14" s="84">
        <f t="shared" si="3"/>
        <v>-444145284.2</v>
      </c>
      <c r="L14" s="84">
        <f t="shared" si="3"/>
        <v>-470952092.2</v>
      </c>
      <c r="M14" s="84">
        <f t="shared" si="3"/>
        <v>-464534593.2</v>
      </c>
      <c r="N14" s="84">
        <f t="shared" si="3"/>
        <v>-422556678</v>
      </c>
      <c r="O14" s="84">
        <f t="shared" si="3"/>
        <v>-342210721.1</v>
      </c>
      <c r="P14" s="84">
        <f t="shared" si="3"/>
        <v>-220172751.4</v>
      </c>
      <c r="Q14" s="84">
        <f t="shared" si="3"/>
        <v>-52550486.98</v>
      </c>
      <c r="R14" s="84">
        <f t="shared" si="3"/>
        <v>165176552.8</v>
      </c>
      <c r="S14" s="84">
        <f t="shared" si="3"/>
        <v>438225757.9</v>
      </c>
      <c r="T14" s="84">
        <f t="shared" si="3"/>
        <v>772589986.1</v>
      </c>
      <c r="U14" s="84">
        <f t="shared" si="3"/>
        <v>1175127135</v>
      </c>
      <c r="V14" s="84">
        <f t="shared" si="3"/>
        <v>1653662052</v>
      </c>
      <c r="W14" s="84">
        <f t="shared" si="3"/>
        <v>2217102279</v>
      </c>
      <c r="X14" s="84">
        <f t="shared" si="3"/>
        <v>2875569342</v>
      </c>
      <c r="Y14" s="84">
        <f t="shared" si="3"/>
        <v>3640547490</v>
      </c>
      <c r="Z14" s="84">
        <f t="shared" si="3"/>
        <v>4525052086</v>
      </c>
    </row>
    <row r="15" ht="15.0" customHeight="1">
      <c r="A15" s="27" t="s">
        <v>418</v>
      </c>
      <c r="B15" s="84">
        <f>B13</f>
        <v>-400000000</v>
      </c>
      <c r="C15" s="84">
        <f t="shared" ref="C15:Z15" si="4">B15+C13</f>
        <v>-683714080.6</v>
      </c>
      <c r="D15" s="84">
        <f t="shared" si="4"/>
        <v>-938619376.9</v>
      </c>
      <c r="E15" s="84">
        <f t="shared" si="4"/>
        <v>-1165507141</v>
      </c>
      <c r="F15" s="84">
        <f t="shared" si="4"/>
        <v>-1364866816</v>
      </c>
      <c r="G15" s="84">
        <f t="shared" si="4"/>
        <v>-1536883682</v>
      </c>
      <c r="H15" s="84">
        <f t="shared" si="4"/>
        <v>-1681432935</v>
      </c>
      <c r="I15" s="84">
        <f t="shared" si="4"/>
        <v>-1798070040</v>
      </c>
      <c r="J15" s="84">
        <f t="shared" si="4"/>
        <v>-1886017144</v>
      </c>
      <c r="K15" s="84">
        <f t="shared" si="4"/>
        <v>-1944145284</v>
      </c>
      <c r="L15" s="84">
        <f t="shared" si="4"/>
        <v>-1970952092</v>
      </c>
      <c r="M15" s="84">
        <f t="shared" si="4"/>
        <v>-1964534593</v>
      </c>
      <c r="N15" s="84">
        <f t="shared" si="4"/>
        <v>-1922556678</v>
      </c>
      <c r="O15" s="84">
        <f t="shared" si="4"/>
        <v>-1842210721</v>
      </c>
      <c r="P15" s="84">
        <f t="shared" si="4"/>
        <v>-1720172751</v>
      </c>
      <c r="Q15" s="84">
        <f t="shared" si="4"/>
        <v>-1552550487</v>
      </c>
      <c r="R15" s="84">
        <f t="shared" si="4"/>
        <v>-1334823447</v>
      </c>
      <c r="S15" s="84">
        <f t="shared" si="4"/>
        <v>-1061774242</v>
      </c>
      <c r="T15" s="84">
        <f t="shared" si="4"/>
        <v>-727410013.9</v>
      </c>
      <c r="U15" s="84">
        <f t="shared" si="4"/>
        <v>-324872864.9</v>
      </c>
      <c r="V15" s="84">
        <f t="shared" si="4"/>
        <v>153662051.7</v>
      </c>
      <c r="W15" s="84">
        <f t="shared" si="4"/>
        <v>717102279.2</v>
      </c>
      <c r="X15" s="84">
        <f t="shared" si="4"/>
        <v>1375569342</v>
      </c>
      <c r="Y15" s="84">
        <f t="shared" si="4"/>
        <v>2140547490</v>
      </c>
      <c r="Z15" s="84">
        <f t="shared" si="4"/>
        <v>3025052086</v>
      </c>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ht="15.0" customHeight="1">
      <c r="A17" s="79" t="s">
        <v>419</v>
      </c>
      <c r="B17" s="2"/>
      <c r="C17" s="2"/>
      <c r="D17" s="2"/>
      <c r="E17" s="2"/>
      <c r="F17" s="2"/>
      <c r="G17" s="2"/>
      <c r="H17" s="2"/>
      <c r="I17" s="2"/>
      <c r="J17" s="2"/>
      <c r="K17" s="2"/>
      <c r="L17" s="2"/>
      <c r="M17" s="2"/>
      <c r="N17" s="2"/>
      <c r="O17" s="2"/>
      <c r="P17" s="2"/>
      <c r="Q17" s="2"/>
      <c r="R17" s="2"/>
      <c r="S17" s="2"/>
      <c r="T17" s="2"/>
      <c r="U17" s="2"/>
      <c r="V17" s="2"/>
      <c r="W17" s="2"/>
      <c r="X17" s="2"/>
      <c r="Y17" s="2"/>
      <c r="Z17" s="2"/>
    </row>
    <row r="18" ht="15.0" customHeight="1">
      <c r="A18" s="27" t="s">
        <v>359</v>
      </c>
      <c r="B18" s="2"/>
      <c r="C18" s="80">
        <f>'3_Giả định'!$C$7*(1+'3_Giả định'!$C$8)^0</f>
        <v>300</v>
      </c>
      <c r="D18" s="80">
        <f>'3_Giả định'!$C$7*(1+'3_Giả định'!$C$8)^1</f>
        <v>324</v>
      </c>
      <c r="E18" s="80">
        <f>'3_Giả định'!$C$7*(1+'3_Giả định'!$C$8)^2</f>
        <v>349.92</v>
      </c>
      <c r="F18" s="80">
        <f>'3_Giả định'!$C$7*(1+'3_Giả định'!$C$8)^3</f>
        <v>377.9136</v>
      </c>
      <c r="G18" s="80">
        <f>'3_Giả định'!$C$7*(1+'3_Giả định'!$C$8)^4</f>
        <v>408.146688</v>
      </c>
      <c r="H18" s="80">
        <f>'3_Giả định'!$C$7*(1+'3_Giả định'!$C$8)^5</f>
        <v>440.798423</v>
      </c>
      <c r="I18" s="80">
        <f>'3_Giả định'!$C$7*(1+'3_Giả định'!$C$8)^6</f>
        <v>476.0622969</v>
      </c>
      <c r="J18" s="80">
        <f>'3_Giả định'!$C$7*(1+'3_Giả định'!$C$8)^7</f>
        <v>514.1472806</v>
      </c>
      <c r="K18" s="80">
        <f>'3_Giả định'!$C$7*(1+'3_Giả định'!$C$8)^8</f>
        <v>555.2790631</v>
      </c>
      <c r="L18" s="80">
        <f>'3_Giả định'!$C$7*(1+'3_Giả định'!$C$8)^9</f>
        <v>599.7013881</v>
      </c>
      <c r="M18" s="80">
        <f>'3_Giả định'!$C$7*(1+'3_Giả định'!$C$8)^10</f>
        <v>647.6774992</v>
      </c>
      <c r="N18" s="80">
        <f>'3_Giả định'!$C$7*(1+'3_Giả định'!$C$8)^11</f>
        <v>699.4916991</v>
      </c>
      <c r="O18" s="80">
        <f>'3_Giả định'!$C$7*(1+'3_Giả định'!$C$8)^12</f>
        <v>755.451035</v>
      </c>
      <c r="P18" s="80">
        <f>'3_Giả định'!$C$7*(1+'3_Giả định'!$C$8)^13</f>
        <v>815.8871178</v>
      </c>
      <c r="Q18" s="80">
        <f>'3_Giả định'!$C$7*(1+'3_Giả định'!$C$8)^14</f>
        <v>881.1580873</v>
      </c>
      <c r="R18" s="80">
        <f>'3_Giả định'!$C$7*(1+'3_Giả định'!$C$8)^15</f>
        <v>951.6507343</v>
      </c>
      <c r="S18" s="80">
        <f>'3_Giả định'!$C$7*(1+'3_Giả định'!$C$8)^16</f>
        <v>1027.782793</v>
      </c>
      <c r="T18" s="80">
        <f>'3_Giả định'!$C$7*(1+'3_Giả định'!$C$8)^17</f>
        <v>1110.005416</v>
      </c>
      <c r="U18" s="80">
        <f>'3_Giả định'!$C$7*(1+'3_Giả định'!$C$8)^18</f>
        <v>1198.80585</v>
      </c>
      <c r="V18" s="80">
        <f>'3_Giả định'!$C$7*(1+'3_Giả định'!$C$8)^19</f>
        <v>1294.710318</v>
      </c>
      <c r="W18" s="80">
        <f>'3_Giả định'!$C$7*(1+'3_Giả định'!$C$8)^20</f>
        <v>1398.287143</v>
      </c>
      <c r="X18" s="80">
        <f>'3_Giả định'!$C$7*(1+'3_Giả định'!$C$8)^21</f>
        <v>1510.150115</v>
      </c>
      <c r="Y18" s="80">
        <f>'3_Giả định'!$C$7*(1+'3_Giả định'!$C$8)^22</f>
        <v>1630.962124</v>
      </c>
      <c r="Z18" s="80">
        <f>'3_Giả định'!$C$7*(1+'3_Giả định'!$C$8)^23</f>
        <v>1761.439094</v>
      </c>
    </row>
    <row r="19" ht="15.0" customHeight="1">
      <c r="A19" s="27" t="s">
        <v>389</v>
      </c>
      <c r="B19" s="2">
        <v>0.0</v>
      </c>
      <c r="C19" s="80">
        <f>B19*(1-'3_Giả định'!$C$9)+C18</f>
        <v>300</v>
      </c>
      <c r="D19" s="80">
        <f>C19*(1-'3_Giả định'!$C$9)+D18</f>
        <v>579</v>
      </c>
      <c r="E19" s="80">
        <f>D19*(1-'3_Giả định'!$C$9)+E18</f>
        <v>842.07</v>
      </c>
      <c r="F19" s="80">
        <f>E19*(1-'3_Giả định'!$C$9)+F18</f>
        <v>1093.6731</v>
      </c>
      <c r="G19" s="80">
        <f>F19*(1-'3_Giả định'!$C$9)+G18</f>
        <v>1337.768823</v>
      </c>
      <c r="H19" s="80">
        <f>G19*(1-'3_Giả định'!$C$9)+H18</f>
        <v>1577.901923</v>
      </c>
      <c r="I19" s="80">
        <f>H19*(1-'3_Giả định'!$C$9)+I18</f>
        <v>1817.278931</v>
      </c>
      <c r="J19" s="80">
        <f>I19*(1-'3_Giả định'!$C$9)+J18</f>
        <v>2058.834372</v>
      </c>
      <c r="K19" s="80">
        <f>J19*(1-'3_Giả định'!$C$9)+K18</f>
        <v>2305.288279</v>
      </c>
      <c r="L19" s="80">
        <f>K19*(1-'3_Giả định'!$C$9)+L18</f>
        <v>2559.196426</v>
      </c>
      <c r="M19" s="80">
        <f>L19*(1-'3_Giả định'!$C$9)+M18</f>
        <v>2822.994461</v>
      </c>
      <c r="N19" s="80">
        <f>M19*(1-'3_Giả định'!$C$9)+N18</f>
        <v>3099.036991</v>
      </c>
      <c r="O19" s="80">
        <f>N19*(1-'3_Giả định'!$C$9)+O18</f>
        <v>3389.632477</v>
      </c>
      <c r="P19" s="80">
        <f>O19*(1-'3_Giả định'!$C$9)+P18</f>
        <v>3697.074724</v>
      </c>
      <c r="Q19" s="80">
        <f>P19*(1-'3_Giả định'!$C$9)+Q18</f>
        <v>4023.671602</v>
      </c>
      <c r="R19" s="80">
        <f>Q19*(1-'3_Giả định'!$C$9)+R18</f>
        <v>4371.771596</v>
      </c>
      <c r="S19" s="80">
        <f>R19*(1-'3_Giả định'!$C$9)+S18</f>
        <v>4743.78865</v>
      </c>
      <c r="T19" s="80">
        <f>S19*(1-'3_Giả định'!$C$9)+T18</f>
        <v>5142.225769</v>
      </c>
      <c r="U19" s="80">
        <f>T19*(1-'3_Giả định'!$C$9)+U18</f>
        <v>5569.697753</v>
      </c>
      <c r="V19" s="80">
        <f>U19*(1-'3_Giả định'!$C$9)+V18</f>
        <v>6028.953408</v>
      </c>
      <c r="W19" s="80">
        <f>V19*(1-'3_Giả định'!$C$9)+W18</f>
        <v>6522.89754</v>
      </c>
      <c r="X19" s="80">
        <f>W19*(1-'3_Giả định'!$C$9)+X18</f>
        <v>7054.613024</v>
      </c>
      <c r="Y19" s="80">
        <f>X19*(1-'3_Giả định'!$C$9)+Y18</f>
        <v>7627.383194</v>
      </c>
      <c r="Z19" s="80">
        <f>Y19*(1-'3_Giả định'!$C$9)+Z18</f>
        <v>8244.714808</v>
      </c>
    </row>
    <row r="20" ht="15.0" customHeight="1">
      <c r="A20" s="27" t="s">
        <v>99</v>
      </c>
      <c r="B20" s="2"/>
      <c r="C20" s="84">
        <f>C19*'3_Giả định'!$C$17</f>
        <v>41850000</v>
      </c>
      <c r="D20" s="84">
        <f>D19*'3_Giả định'!$C$17</f>
        <v>80770500</v>
      </c>
      <c r="E20" s="84">
        <f>E19*'3_Giả định'!$C$17</f>
        <v>117468765</v>
      </c>
      <c r="F20" s="84">
        <f>F19*'3_Giả định'!$C$17</f>
        <v>152567397.5</v>
      </c>
      <c r="G20" s="84">
        <f>G19*'3_Giả định'!$C$17</f>
        <v>186618750.8</v>
      </c>
      <c r="H20" s="84">
        <f>H19*'3_Giả định'!$C$17</f>
        <v>220117318.2</v>
      </c>
      <c r="I20" s="84">
        <f>I19*'3_Giả định'!$C$17</f>
        <v>253510410.9</v>
      </c>
      <c r="J20" s="84">
        <f>J19*'3_Giả định'!$C$17</f>
        <v>287207394.9</v>
      </c>
      <c r="K20" s="84">
        <f>K19*'3_Giả định'!$C$17</f>
        <v>321587715</v>
      </c>
      <c r="L20" s="84">
        <f>L19*'3_Giả định'!$C$17</f>
        <v>357007901.4</v>
      </c>
      <c r="M20" s="84">
        <f>M19*'3_Giả định'!$C$17</f>
        <v>393807727.3</v>
      </c>
      <c r="N20" s="84">
        <f>N19*'3_Giả định'!$C$17</f>
        <v>432315660.2</v>
      </c>
      <c r="O20" s="84">
        <f>O19*'3_Giả định'!$C$17</f>
        <v>472853730.6</v>
      </c>
      <c r="P20" s="84">
        <f>P19*'3_Giả định'!$C$17</f>
        <v>515741923.9</v>
      </c>
      <c r="Q20" s="84">
        <f>Q19*'3_Giả định'!$C$17</f>
        <v>561302188.5</v>
      </c>
      <c r="R20" s="84">
        <f>R19*'3_Giả định'!$C$17</f>
        <v>609862137.7</v>
      </c>
      <c r="S20" s="84">
        <f>S19*'3_Giả định'!$C$17</f>
        <v>661758516.6</v>
      </c>
      <c r="T20" s="84">
        <f>T19*'3_Giả định'!$C$17</f>
        <v>717340494.7</v>
      </c>
      <c r="U20" s="84">
        <f>U19*'3_Giả định'!$C$17</f>
        <v>776972836.6</v>
      </c>
      <c r="V20" s="84">
        <f>V19*'3_Giả định'!$C$17</f>
        <v>841039000.4</v>
      </c>
      <c r="W20" s="84">
        <f>W19*'3_Giả định'!$C$17</f>
        <v>909944206.8</v>
      </c>
      <c r="X20" s="84">
        <f>X19*'3_Giả định'!$C$17</f>
        <v>984118516.8</v>
      </c>
      <c r="Y20" s="84">
        <f>Y19*'3_Giả định'!$C$17</f>
        <v>1064019956</v>
      </c>
      <c r="Z20" s="84">
        <f>Z19*'3_Giả định'!$C$17</f>
        <v>1150137716</v>
      </c>
    </row>
    <row r="21" ht="15.0" customHeight="1">
      <c r="A21" s="27" t="s">
        <v>394</v>
      </c>
      <c r="B21" s="2"/>
      <c r="C21" s="84">
        <f>C19*'3_Giả định'!$C$18</f>
        <v>4409897.952</v>
      </c>
      <c r="D21" s="84">
        <f>D19*'3_Giả định'!$C$18</f>
        <v>8511103.047</v>
      </c>
      <c r="E21" s="84">
        <f>E19*'3_Giả định'!$C$18</f>
        <v>12378142.56</v>
      </c>
      <c r="F21" s="84">
        <f>F19*'3_Giả định'!$C$18</f>
        <v>16076622.55</v>
      </c>
      <c r="G21" s="84">
        <f>G19*'3_Giả định'!$C$18</f>
        <v>19664746.64</v>
      </c>
      <c r="H21" s="84">
        <f>H19*'3_Giả định'!$C$18</f>
        <v>23194621.52</v>
      </c>
      <c r="I21" s="84">
        <f>I19*'3_Giả định'!$C$18</f>
        <v>26713382.12</v>
      </c>
      <c r="J21" s="84">
        <f>J19*'3_Giả định'!$C$18</f>
        <v>30264164.94</v>
      </c>
      <c r="K21" s="84">
        <f>K19*'3_Giả định'!$C$18</f>
        <v>33886953.54</v>
      </c>
      <c r="L21" s="84">
        <f>L19*'3_Giả định'!$C$18</f>
        <v>37619316.92</v>
      </c>
      <c r="M21" s="84">
        <f>M19*'3_Giả định'!$C$18</f>
        <v>41497058.31</v>
      </c>
      <c r="N21" s="84">
        <f>N19*'3_Giả định'!$C$18</f>
        <v>45554789.6</v>
      </c>
      <c r="O21" s="84">
        <f>O19*'3_Giả định'!$C$18</f>
        <v>49826444.4</v>
      </c>
      <c r="P21" s="84">
        <f>P19*'3_Giả định'!$C$18</f>
        <v>54345740.84</v>
      </c>
      <c r="Q21" s="84">
        <f>Q19*'3_Giả định'!$C$18</f>
        <v>59146603.86</v>
      </c>
      <c r="R21" s="84">
        <f>R19*'3_Giả định'!$C$18</f>
        <v>64263555.36</v>
      </c>
      <c r="S21" s="84">
        <f>S19*'3_Giả định'!$C$18</f>
        <v>69732079.5</v>
      </c>
      <c r="T21" s="84">
        <f>T19*'3_Giả định'!$C$18</f>
        <v>75588969.62</v>
      </c>
      <c r="U21" s="84">
        <f>U19*'3_Giả định'!$C$18</f>
        <v>81872662.38</v>
      </c>
      <c r="V21" s="84">
        <f>V19*'3_Giả định'!$C$18</f>
        <v>88623564.29</v>
      </c>
      <c r="W21" s="84">
        <f>W19*'3_Giả định'!$C$18</f>
        <v>95884375.01</v>
      </c>
      <c r="X21" s="84">
        <f>X19*'3_Giả định'!$C$18</f>
        <v>103700411.7</v>
      </c>
      <c r="Y21" s="84">
        <f>Y19*'3_Giả định'!$C$18</f>
        <v>112119938.4</v>
      </c>
      <c r="Z21" s="84">
        <f>Z19*'3_Giả định'!$C$18</f>
        <v>121194503.2</v>
      </c>
    </row>
    <row r="22" ht="15.0" customHeight="1">
      <c r="A22" s="27" t="s">
        <v>140</v>
      </c>
      <c r="B22" s="2"/>
      <c r="C22" s="84">
        <f t="shared" ref="C22:Z22" si="5">C20-C21</f>
        <v>37440102.05</v>
      </c>
      <c r="D22" s="84">
        <f t="shared" si="5"/>
        <v>72259396.95</v>
      </c>
      <c r="E22" s="84">
        <f t="shared" si="5"/>
        <v>105090622.4</v>
      </c>
      <c r="F22" s="84">
        <f t="shared" si="5"/>
        <v>136490774.9</v>
      </c>
      <c r="G22" s="84">
        <f t="shared" si="5"/>
        <v>166954004.2</v>
      </c>
      <c r="H22" s="84">
        <f t="shared" si="5"/>
        <v>196922696.7</v>
      </c>
      <c r="I22" s="84">
        <f t="shared" si="5"/>
        <v>226797028.8</v>
      </c>
      <c r="J22" s="84">
        <f t="shared" si="5"/>
        <v>256943230</v>
      </c>
      <c r="K22" s="84">
        <f t="shared" si="5"/>
        <v>287700761.4</v>
      </c>
      <c r="L22" s="84">
        <f t="shared" si="5"/>
        <v>319388584.4</v>
      </c>
      <c r="M22" s="84">
        <f t="shared" si="5"/>
        <v>352310669</v>
      </c>
      <c r="N22" s="84">
        <f t="shared" si="5"/>
        <v>386760870.6</v>
      </c>
      <c r="O22" s="84">
        <f t="shared" si="5"/>
        <v>423027286.2</v>
      </c>
      <c r="P22" s="84">
        <f t="shared" si="5"/>
        <v>461396183.1</v>
      </c>
      <c r="Q22" s="84">
        <f t="shared" si="5"/>
        <v>502155584.7</v>
      </c>
      <c r="R22" s="84">
        <f t="shared" si="5"/>
        <v>545598582.3</v>
      </c>
      <c r="S22" s="84">
        <f t="shared" si="5"/>
        <v>592026437.1</v>
      </c>
      <c r="T22" s="84">
        <f t="shared" si="5"/>
        <v>641751525.1</v>
      </c>
      <c r="U22" s="84">
        <f t="shared" si="5"/>
        <v>695100174.2</v>
      </c>
      <c r="V22" s="84">
        <f t="shared" si="5"/>
        <v>752415436.1</v>
      </c>
      <c r="W22" s="84">
        <f t="shared" si="5"/>
        <v>814059831.8</v>
      </c>
      <c r="X22" s="84">
        <f t="shared" si="5"/>
        <v>880418105</v>
      </c>
      <c r="Y22" s="84">
        <f t="shared" si="5"/>
        <v>951900017.1</v>
      </c>
      <c r="Z22" s="84">
        <f t="shared" si="5"/>
        <v>1028943213</v>
      </c>
    </row>
    <row r="23" ht="15.0" customHeight="1">
      <c r="A23" s="27" t="s">
        <v>403</v>
      </c>
      <c r="B23" s="2"/>
      <c r="C23" s="84">
        <f>C18*'3_Giả định'!$C$10</f>
        <v>210000000</v>
      </c>
      <c r="D23" s="84">
        <f>D18*'3_Giả định'!$C$10</f>
        <v>226800000</v>
      </c>
      <c r="E23" s="84">
        <f>E18*'3_Giả định'!$C$10</f>
        <v>244944000</v>
      </c>
      <c r="F23" s="84">
        <f>F18*'3_Giả định'!$C$10</f>
        <v>264539520</v>
      </c>
      <c r="G23" s="84">
        <f>G18*'3_Giả định'!$C$10</f>
        <v>285702681.6</v>
      </c>
      <c r="H23" s="84">
        <f>H18*'3_Giả định'!$C$10</f>
        <v>308558896.1</v>
      </c>
      <c r="I23" s="84">
        <f>I18*'3_Giả định'!$C$10</f>
        <v>333243607.8</v>
      </c>
      <c r="J23" s="84">
        <f>J18*'3_Giả định'!$C$10</f>
        <v>359903096.4</v>
      </c>
      <c r="K23" s="84">
        <f>K18*'3_Giả định'!$C$10</f>
        <v>388695344.2</v>
      </c>
      <c r="L23" s="84">
        <f>L18*'3_Giả định'!$C$10</f>
        <v>419790971.7</v>
      </c>
      <c r="M23" s="84">
        <f>M18*'3_Giả định'!$C$10</f>
        <v>453374249.4</v>
      </c>
      <c r="N23" s="84">
        <f>N18*'3_Giả định'!$C$10</f>
        <v>489644189.4</v>
      </c>
      <c r="O23" s="84">
        <f>O18*'3_Giả định'!$C$10</f>
        <v>528815724.5</v>
      </c>
      <c r="P23" s="84">
        <f>P18*'3_Giả định'!$C$10</f>
        <v>571120982.5</v>
      </c>
      <c r="Q23" s="84">
        <f>Q18*'3_Giả định'!$C$10</f>
        <v>616810661.1</v>
      </c>
      <c r="R23" s="84">
        <f>R18*'3_Giả định'!$C$10</f>
        <v>666155514</v>
      </c>
      <c r="S23" s="84">
        <f>S18*'3_Giả định'!$C$10</f>
        <v>719447955.1</v>
      </c>
      <c r="T23" s="84">
        <f>T18*'3_Giả định'!$C$10</f>
        <v>777003791.5</v>
      </c>
      <c r="U23" s="84">
        <f>U18*'3_Giả định'!$C$10</f>
        <v>839164094.8</v>
      </c>
      <c r="V23" s="84">
        <f>V18*'3_Giả định'!$C$10</f>
        <v>906297222.4</v>
      </c>
      <c r="W23" s="84">
        <f>W18*'3_Giả định'!$C$10</f>
        <v>978801000.2</v>
      </c>
      <c r="X23" s="84">
        <f>X18*'3_Giả định'!$C$10</f>
        <v>1057105080</v>
      </c>
      <c r="Y23" s="84">
        <f>Y18*'3_Giả định'!$C$10</f>
        <v>1141673487</v>
      </c>
      <c r="Z23" s="84">
        <f>Z18*'3_Giả định'!$C$10</f>
        <v>1233007366</v>
      </c>
    </row>
    <row r="24" ht="15.0" customHeight="1">
      <c r="A24" s="27" t="s">
        <v>411</v>
      </c>
      <c r="B24" s="2"/>
      <c r="C24" s="84">
        <f>'3_Giả định'!$C$11</f>
        <v>120000000</v>
      </c>
      <c r="D24" s="84">
        <f>'3_Giả định'!$C$11</f>
        <v>120000000</v>
      </c>
      <c r="E24" s="84">
        <f>'3_Giả định'!$C$11</f>
        <v>120000000</v>
      </c>
      <c r="F24" s="84">
        <f>'3_Giả định'!$C$11</f>
        <v>120000000</v>
      </c>
      <c r="G24" s="84">
        <f>'3_Giả định'!$C$11</f>
        <v>120000000</v>
      </c>
      <c r="H24" s="84">
        <f>'3_Giả định'!$C$11</f>
        <v>120000000</v>
      </c>
      <c r="I24" s="84">
        <f>'3_Giả định'!$C$11</f>
        <v>120000000</v>
      </c>
      <c r="J24" s="84">
        <f>'3_Giả định'!$C$11</f>
        <v>120000000</v>
      </c>
      <c r="K24" s="84">
        <f>'3_Giả định'!$C$11</f>
        <v>120000000</v>
      </c>
      <c r="L24" s="84">
        <f>'3_Giả định'!$C$11</f>
        <v>120000000</v>
      </c>
      <c r="M24" s="84">
        <f>'3_Giả định'!$C$11</f>
        <v>120000000</v>
      </c>
      <c r="N24" s="84">
        <f>'3_Giả định'!$C$11</f>
        <v>120000000</v>
      </c>
      <c r="O24" s="84">
        <f>'3_Giả định'!$C$11</f>
        <v>120000000</v>
      </c>
      <c r="P24" s="84">
        <f>'3_Giả định'!$C$11</f>
        <v>120000000</v>
      </c>
      <c r="Q24" s="84">
        <f>'3_Giả định'!$C$11</f>
        <v>120000000</v>
      </c>
      <c r="R24" s="84">
        <f>'3_Giả định'!$C$11</f>
        <v>120000000</v>
      </c>
      <c r="S24" s="84">
        <f>'3_Giả định'!$C$11</f>
        <v>120000000</v>
      </c>
      <c r="T24" s="84">
        <f>'3_Giả định'!$C$11</f>
        <v>120000000</v>
      </c>
      <c r="U24" s="84">
        <f>'3_Giả định'!$C$11</f>
        <v>120000000</v>
      </c>
      <c r="V24" s="84">
        <f>'3_Giả định'!$C$11</f>
        <v>120000000</v>
      </c>
      <c r="W24" s="84">
        <f>'3_Giả định'!$C$11</f>
        <v>120000000</v>
      </c>
      <c r="X24" s="84">
        <f>'3_Giả định'!$C$11</f>
        <v>120000000</v>
      </c>
      <c r="Y24" s="84">
        <f>'3_Giả định'!$C$11</f>
        <v>120000000</v>
      </c>
      <c r="Z24" s="84">
        <f>'3_Giả định'!$C$11</f>
        <v>120000000</v>
      </c>
    </row>
    <row r="25" ht="15.0" customHeight="1">
      <c r="A25" s="27" t="s">
        <v>416</v>
      </c>
      <c r="B25" s="84">
        <f>-'3_Giả định'!$C$12</f>
        <v>-400000000</v>
      </c>
      <c r="C25" s="84">
        <f t="shared" ref="C25:Z25" si="6">C22-C23-C24</f>
        <v>-292559898</v>
      </c>
      <c r="D25" s="84">
        <f t="shared" si="6"/>
        <v>-274540603</v>
      </c>
      <c r="E25" s="84">
        <f t="shared" si="6"/>
        <v>-259853377.6</v>
      </c>
      <c r="F25" s="84">
        <f t="shared" si="6"/>
        <v>-248048745.1</v>
      </c>
      <c r="G25" s="84">
        <f t="shared" si="6"/>
        <v>-238748677.4</v>
      </c>
      <c r="H25" s="84">
        <f t="shared" si="6"/>
        <v>-231636199.4</v>
      </c>
      <c r="I25" s="84">
        <f t="shared" si="6"/>
        <v>-226446579.1</v>
      </c>
      <c r="J25" s="84">
        <f t="shared" si="6"/>
        <v>-222959866.5</v>
      </c>
      <c r="K25" s="84">
        <f t="shared" si="6"/>
        <v>-220994582.7</v>
      </c>
      <c r="L25" s="84">
        <f t="shared" si="6"/>
        <v>-220402387.2</v>
      </c>
      <c r="M25" s="84">
        <f t="shared" si="6"/>
        <v>-221063580.4</v>
      </c>
      <c r="N25" s="84">
        <f t="shared" si="6"/>
        <v>-222883318.7</v>
      </c>
      <c r="O25" s="84">
        <f t="shared" si="6"/>
        <v>-225788438.3</v>
      </c>
      <c r="P25" s="84">
        <f t="shared" si="6"/>
        <v>-229724799.4</v>
      </c>
      <c r="Q25" s="84">
        <f t="shared" si="6"/>
        <v>-234655076.4</v>
      </c>
      <c r="R25" s="84">
        <f t="shared" si="6"/>
        <v>-240556931.7</v>
      </c>
      <c r="S25" s="84">
        <f t="shared" si="6"/>
        <v>-247421518</v>
      </c>
      <c r="T25" s="84">
        <f t="shared" si="6"/>
        <v>-255252266.4</v>
      </c>
      <c r="U25" s="84">
        <f t="shared" si="6"/>
        <v>-264063920.6</v>
      </c>
      <c r="V25" s="84">
        <f t="shared" si="6"/>
        <v>-273881786.3</v>
      </c>
      <c r="W25" s="84">
        <f t="shared" si="6"/>
        <v>-284741168.4</v>
      </c>
      <c r="X25" s="84">
        <f t="shared" si="6"/>
        <v>-296686975.2</v>
      </c>
      <c r="Y25" s="84">
        <f t="shared" si="6"/>
        <v>-309773469.5</v>
      </c>
      <c r="Z25" s="84">
        <f t="shared" si="6"/>
        <v>-324064153</v>
      </c>
    </row>
    <row r="26" ht="15.0" customHeight="1">
      <c r="A26" s="27" t="s">
        <v>417</v>
      </c>
      <c r="B26" s="84">
        <f>'3_Giả định'!$C$13+B25</f>
        <v>1100000000</v>
      </c>
      <c r="C26" s="84">
        <f t="shared" ref="C26:Z26" si="7">B26+C25</f>
        <v>807440102</v>
      </c>
      <c r="D26" s="84">
        <f t="shared" si="7"/>
        <v>532899499</v>
      </c>
      <c r="E26" s="84">
        <f t="shared" si="7"/>
        <v>273046121.4</v>
      </c>
      <c r="F26" s="84">
        <f t="shared" si="7"/>
        <v>24997376.34</v>
      </c>
      <c r="G26" s="84">
        <f t="shared" si="7"/>
        <v>-213751301.1</v>
      </c>
      <c r="H26" s="84">
        <f t="shared" si="7"/>
        <v>-445387500.5</v>
      </c>
      <c r="I26" s="84">
        <f t="shared" si="7"/>
        <v>-671834079.6</v>
      </c>
      <c r="J26" s="84">
        <f t="shared" si="7"/>
        <v>-894793946.1</v>
      </c>
      <c r="K26" s="84">
        <f t="shared" si="7"/>
        <v>-1115788529</v>
      </c>
      <c r="L26" s="84">
        <f t="shared" si="7"/>
        <v>-1336190916</v>
      </c>
      <c r="M26" s="84">
        <f t="shared" si="7"/>
        <v>-1557254496</v>
      </c>
      <c r="N26" s="84">
        <f t="shared" si="7"/>
        <v>-1780137815</v>
      </c>
      <c r="O26" s="84">
        <f t="shared" si="7"/>
        <v>-2005926254</v>
      </c>
      <c r="P26" s="84">
        <f t="shared" si="7"/>
        <v>-2235651053</v>
      </c>
      <c r="Q26" s="84">
        <f t="shared" si="7"/>
        <v>-2470306129</v>
      </c>
      <c r="R26" s="84">
        <f t="shared" si="7"/>
        <v>-2710863061</v>
      </c>
      <c r="S26" s="84">
        <f t="shared" si="7"/>
        <v>-2958284579</v>
      </c>
      <c r="T26" s="84">
        <f t="shared" si="7"/>
        <v>-3213536845</v>
      </c>
      <c r="U26" s="84">
        <f t="shared" si="7"/>
        <v>-3477600766</v>
      </c>
      <c r="V26" s="84">
        <f t="shared" si="7"/>
        <v>-3751482552</v>
      </c>
      <c r="W26" s="84">
        <f t="shared" si="7"/>
        <v>-4036223721</v>
      </c>
      <c r="X26" s="84">
        <f t="shared" si="7"/>
        <v>-4332910696</v>
      </c>
      <c r="Y26" s="84">
        <f t="shared" si="7"/>
        <v>-4642684165</v>
      </c>
      <c r="Z26" s="84">
        <f t="shared" si="7"/>
        <v>-4966748318</v>
      </c>
    </row>
    <row r="27" ht="15.0" customHeight="1">
      <c r="A27" s="27" t="s">
        <v>418</v>
      </c>
      <c r="B27" s="84">
        <f>B25</f>
        <v>-400000000</v>
      </c>
      <c r="C27" s="84">
        <f t="shared" ref="C27:Z27" si="8">B27+C25</f>
        <v>-692559898</v>
      </c>
      <c r="D27" s="84">
        <f t="shared" si="8"/>
        <v>-967100501</v>
      </c>
      <c r="E27" s="84">
        <f t="shared" si="8"/>
        <v>-1226953879</v>
      </c>
      <c r="F27" s="84">
        <f t="shared" si="8"/>
        <v>-1475002624</v>
      </c>
      <c r="G27" s="84">
        <f t="shared" si="8"/>
        <v>-1713751301</v>
      </c>
      <c r="H27" s="84">
        <f t="shared" si="8"/>
        <v>-1945387501</v>
      </c>
      <c r="I27" s="84">
        <f t="shared" si="8"/>
        <v>-2171834080</v>
      </c>
      <c r="J27" s="84">
        <f t="shared" si="8"/>
        <v>-2394793946</v>
      </c>
      <c r="K27" s="84">
        <f t="shared" si="8"/>
        <v>-2615788529</v>
      </c>
      <c r="L27" s="84">
        <f t="shared" si="8"/>
        <v>-2836190916</v>
      </c>
      <c r="M27" s="84">
        <f t="shared" si="8"/>
        <v>-3057254496</v>
      </c>
      <c r="N27" s="84">
        <f t="shared" si="8"/>
        <v>-3280137815</v>
      </c>
      <c r="O27" s="84">
        <f t="shared" si="8"/>
        <v>-3505926254</v>
      </c>
      <c r="P27" s="84">
        <f t="shared" si="8"/>
        <v>-3735651053</v>
      </c>
      <c r="Q27" s="84">
        <f t="shared" si="8"/>
        <v>-3970306129</v>
      </c>
      <c r="R27" s="84">
        <f t="shared" si="8"/>
        <v>-4210863061</v>
      </c>
      <c r="S27" s="84">
        <f t="shared" si="8"/>
        <v>-4458284579</v>
      </c>
      <c r="T27" s="84">
        <f t="shared" si="8"/>
        <v>-4713536845</v>
      </c>
      <c r="U27" s="84">
        <f t="shared" si="8"/>
        <v>-4977600766</v>
      </c>
      <c r="V27" s="84">
        <f t="shared" si="8"/>
        <v>-5251482552</v>
      </c>
      <c r="W27" s="84">
        <f t="shared" si="8"/>
        <v>-5536223721</v>
      </c>
      <c r="X27" s="84">
        <f t="shared" si="8"/>
        <v>-5832910696</v>
      </c>
      <c r="Y27" s="84">
        <f t="shared" si="8"/>
        <v>-6142684165</v>
      </c>
      <c r="Z27" s="84">
        <f t="shared" si="8"/>
        <v>-6466748318</v>
      </c>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0" customHeight="1">
      <c r="A29" s="79" t="s">
        <v>512</v>
      </c>
      <c r="B29" s="2"/>
      <c r="C29" s="2"/>
      <c r="D29" s="2"/>
      <c r="E29" s="2"/>
      <c r="F29" s="2"/>
      <c r="G29" s="2"/>
      <c r="H29" s="2"/>
      <c r="I29" s="2"/>
      <c r="J29" s="2"/>
      <c r="K29" s="2"/>
      <c r="L29" s="2"/>
      <c r="M29" s="2"/>
      <c r="N29" s="2"/>
      <c r="O29" s="2"/>
      <c r="P29" s="2"/>
      <c r="Q29" s="2"/>
      <c r="R29" s="2"/>
      <c r="S29" s="2"/>
      <c r="T29" s="2"/>
      <c r="U29" s="2"/>
      <c r="V29" s="2"/>
      <c r="W29" s="2"/>
      <c r="X29" s="2"/>
      <c r="Y29" s="2"/>
      <c r="Z29" s="2"/>
    </row>
    <row r="30" ht="15.0" customHeight="1">
      <c r="A30" s="27" t="s">
        <v>359</v>
      </c>
      <c r="B30" s="2"/>
      <c r="C30" s="80">
        <f>'3_Giả định'!$D$7*(1+'3_Giả định'!$D$8)^0</f>
        <v>150</v>
      </c>
      <c r="D30" s="80">
        <f>'3_Giả định'!$D$7*(1+'3_Giả định'!$D$8)^1</f>
        <v>154.8</v>
      </c>
      <c r="E30" s="80">
        <f>'3_Giả định'!$D$7*(1+'3_Giả định'!$D$8)^2</f>
        <v>159.7536</v>
      </c>
      <c r="F30" s="80">
        <f>'3_Giả định'!$D$7*(1+'3_Giả định'!$D$8)^3</f>
        <v>164.8657152</v>
      </c>
      <c r="G30" s="80">
        <f>'3_Giả định'!$D$7*(1+'3_Giả định'!$D$8)^4</f>
        <v>170.1414181</v>
      </c>
      <c r="H30" s="80">
        <f>'3_Giả định'!$D$7*(1+'3_Giả định'!$D$8)^5</f>
        <v>175.5859435</v>
      </c>
      <c r="I30" s="80">
        <f>'3_Giả định'!$D$7*(1+'3_Giả định'!$D$8)^6</f>
        <v>181.2046937</v>
      </c>
      <c r="J30" s="80">
        <f>'3_Giả định'!$D$7*(1+'3_Giả định'!$D$8)^7</f>
        <v>187.0032439</v>
      </c>
      <c r="K30" s="80">
        <f>'3_Giả định'!$D$7*(1+'3_Giả định'!$D$8)^8</f>
        <v>192.9873477</v>
      </c>
      <c r="L30" s="80">
        <f>'3_Giả định'!$D$7*(1+'3_Giả định'!$D$8)^9</f>
        <v>199.1629428</v>
      </c>
      <c r="M30" s="80">
        <f>'3_Giả định'!$D$7*(1+'3_Giả định'!$D$8)^10</f>
        <v>205.536157</v>
      </c>
      <c r="N30" s="80">
        <f>'3_Giả định'!$D$7*(1+'3_Giả định'!$D$8)^11</f>
        <v>212.113314</v>
      </c>
      <c r="O30" s="80">
        <f>'3_Giả định'!$D$7*(1+'3_Giả định'!$D$8)^12</f>
        <v>218.90094</v>
      </c>
      <c r="P30" s="80">
        <f>'3_Giả định'!$D$7*(1+'3_Giả định'!$D$8)^13</f>
        <v>225.9057701</v>
      </c>
      <c r="Q30" s="80">
        <f>'3_Giả định'!$D$7*(1+'3_Giả định'!$D$8)^14</f>
        <v>233.1347547</v>
      </c>
      <c r="R30" s="80">
        <f>'3_Giả định'!$D$7*(1+'3_Giả định'!$D$8)^15</f>
        <v>240.5950669</v>
      </c>
      <c r="S30" s="80">
        <f>'3_Giả định'!$D$7*(1+'3_Giả định'!$D$8)^16</f>
        <v>248.294109</v>
      </c>
      <c r="T30" s="80">
        <f>'3_Giả định'!$D$7*(1+'3_Giả định'!$D$8)^17</f>
        <v>256.2395205</v>
      </c>
      <c r="U30" s="80">
        <f>'3_Giả định'!$D$7*(1+'3_Giả định'!$D$8)^18</f>
        <v>264.4391852</v>
      </c>
      <c r="V30" s="80">
        <f>'3_Giả định'!$D$7*(1+'3_Giả định'!$D$8)^19</f>
        <v>272.9012391</v>
      </c>
      <c r="W30" s="80">
        <f>'3_Giả định'!$D$7*(1+'3_Giả định'!$D$8)^20</f>
        <v>281.6340788</v>
      </c>
      <c r="X30" s="80">
        <f>'3_Giả định'!$D$7*(1+'3_Giả định'!$D$8)^21</f>
        <v>290.6463693</v>
      </c>
      <c r="Y30" s="80">
        <f>'3_Giả định'!$D$7*(1+'3_Giả định'!$D$8)^22</f>
        <v>299.9470531</v>
      </c>
      <c r="Z30" s="80">
        <f>'3_Giả định'!$D$7*(1+'3_Giả định'!$D$8)^23</f>
        <v>309.5453588</v>
      </c>
    </row>
    <row r="31" ht="15.0" customHeight="1">
      <c r="A31" s="27" t="s">
        <v>389</v>
      </c>
      <c r="B31" s="2">
        <v>0.0</v>
      </c>
      <c r="C31" s="80">
        <f>B31*(1-'3_Giả định'!$D$9)+C30</f>
        <v>150</v>
      </c>
      <c r="D31" s="80">
        <f>C31*(1-'3_Giả định'!$D$9)+D30</f>
        <v>268.8</v>
      </c>
      <c r="E31" s="80">
        <f>D31*(1-'3_Giả định'!$D$9)+E30</f>
        <v>364.0416</v>
      </c>
      <c r="F31" s="80">
        <f>E31*(1-'3_Giả định'!$D$9)+F30</f>
        <v>441.5373312</v>
      </c>
      <c r="G31" s="80">
        <f>F31*(1-'3_Giả định'!$D$9)+G30</f>
        <v>505.7097898</v>
      </c>
      <c r="H31" s="80">
        <f>G31*(1-'3_Giả định'!$D$9)+H30</f>
        <v>559.9253837</v>
      </c>
      <c r="I31" s="80">
        <f>H31*(1-'3_Giả định'!$D$9)+I30</f>
        <v>606.7479853</v>
      </c>
      <c r="J31" s="80">
        <f>I31*(1-'3_Giả định'!$D$9)+J30</f>
        <v>648.1317127</v>
      </c>
      <c r="K31" s="80">
        <f>J31*(1-'3_Giả định'!$D$9)+K30</f>
        <v>685.5674493</v>
      </c>
      <c r="L31" s="80">
        <f>K31*(1-'3_Giả định'!$D$9)+L30</f>
        <v>720.1942042</v>
      </c>
      <c r="M31" s="80">
        <f>L31*(1-'3_Giả định'!$D$9)+M30</f>
        <v>752.8837522</v>
      </c>
      <c r="N31" s="80">
        <f>M31*(1-'3_Giả định'!$D$9)+N30</f>
        <v>784.3049656</v>
      </c>
      <c r="O31" s="80">
        <f>N31*(1-'3_Giả định'!$D$9)+O30</f>
        <v>814.9727139</v>
      </c>
      <c r="P31" s="80">
        <f>O31*(1-'3_Giả định'!$D$9)+P30</f>
        <v>845.2850327</v>
      </c>
      <c r="Q31" s="80">
        <f>P31*(1-'3_Giả định'!$D$9)+Q30</f>
        <v>875.5513796</v>
      </c>
      <c r="R31" s="80">
        <f>Q31*(1-'3_Giả định'!$D$9)+R30</f>
        <v>906.0141154</v>
      </c>
      <c r="S31" s="80">
        <f>R31*(1-'3_Giả định'!$D$9)+S30</f>
        <v>936.8648367</v>
      </c>
      <c r="T31" s="80">
        <f>S31*(1-'3_Giả định'!$D$9)+T30</f>
        <v>968.2567964</v>
      </c>
      <c r="U31" s="80">
        <f>T31*(1-'3_Giả định'!$D$9)+U30</f>
        <v>1000.31435</v>
      </c>
      <c r="V31" s="80">
        <f>U31*(1-'3_Giả định'!$D$9)+V30</f>
        <v>1033.140145</v>
      </c>
      <c r="W31" s="80">
        <f>V31*(1-'3_Giả định'!$D$9)+W30</f>
        <v>1066.820589</v>
      </c>
      <c r="X31" s="80">
        <f>W31*(1-'3_Giả định'!$D$9)+X30</f>
        <v>1101.430017</v>
      </c>
      <c r="Y31" s="80">
        <f>X31*(1-'3_Giả định'!$D$9)+Y30</f>
        <v>1137.033866</v>
      </c>
      <c r="Z31" s="80">
        <f>Y31*(1-'3_Giả định'!$D$9)+Z30</f>
        <v>1173.691097</v>
      </c>
    </row>
    <row r="32" ht="15.0" customHeight="1">
      <c r="A32" s="27" t="s">
        <v>99</v>
      </c>
      <c r="B32" s="2"/>
      <c r="C32" s="84">
        <f>C31*'3_Giả định'!$D$17</f>
        <v>16740000</v>
      </c>
      <c r="D32" s="84">
        <f>D31*'3_Giả định'!$D$17</f>
        <v>29998080</v>
      </c>
      <c r="E32" s="84">
        <f>E31*'3_Giả định'!$D$17</f>
        <v>40627042.56</v>
      </c>
      <c r="F32" s="84">
        <f>F31*'3_Giả định'!$D$17</f>
        <v>49275566.16</v>
      </c>
      <c r="G32" s="84">
        <f>G31*'3_Giả định'!$D$17</f>
        <v>56437212.54</v>
      </c>
      <c r="H32" s="84">
        <f>H31*'3_Giả định'!$D$17</f>
        <v>62487672.82</v>
      </c>
      <c r="I32" s="84">
        <f>I31*'3_Giả định'!$D$17</f>
        <v>67713075.16</v>
      </c>
      <c r="J32" s="84">
        <f>J31*'3_Giả định'!$D$17</f>
        <v>72331499.13</v>
      </c>
      <c r="K32" s="84">
        <f>K31*'3_Giả định'!$D$17</f>
        <v>76509327.34</v>
      </c>
      <c r="L32" s="84">
        <f>L31*'3_Giả định'!$D$17</f>
        <v>80373673.19</v>
      </c>
      <c r="M32" s="84">
        <f>M31*'3_Giả định'!$D$17</f>
        <v>84021826.74</v>
      </c>
      <c r="N32" s="84">
        <f>N31*'3_Giả định'!$D$17</f>
        <v>87528434.16</v>
      </c>
      <c r="O32" s="84">
        <f>O31*'3_Giả định'!$D$17</f>
        <v>90950954.87</v>
      </c>
      <c r="P32" s="84">
        <f>P31*'3_Giả định'!$D$17</f>
        <v>94333809.64</v>
      </c>
      <c r="Q32" s="84">
        <f>Q31*'3_Giả định'!$D$17</f>
        <v>97711533.96</v>
      </c>
      <c r="R32" s="84">
        <f>R31*'3_Giả định'!$D$17</f>
        <v>101111175.3</v>
      </c>
      <c r="S32" s="84">
        <f>S31*'3_Giả định'!$D$17</f>
        <v>104554115.8</v>
      </c>
      <c r="T32" s="84">
        <f>T31*'3_Giả định'!$D$17</f>
        <v>108057458.5</v>
      </c>
      <c r="U32" s="84">
        <f>U31*'3_Giả định'!$D$17</f>
        <v>111635081.5</v>
      </c>
      <c r="V32" s="84">
        <f>V31*'3_Giả định'!$D$17</f>
        <v>115298440.2</v>
      </c>
      <c r="W32" s="84">
        <f>W31*'3_Giả định'!$D$17</f>
        <v>119057177.8</v>
      </c>
      <c r="X32" s="84">
        <f>X31*'3_Giả định'!$D$17</f>
        <v>122919589.9</v>
      </c>
      <c r="Y32" s="84">
        <f>Y31*'3_Giả định'!$D$17</f>
        <v>126892979.5</v>
      </c>
      <c r="Z32" s="84">
        <f>Z31*'3_Giả định'!$D$17</f>
        <v>130983926.4</v>
      </c>
    </row>
    <row r="33" ht="15.0" customHeight="1">
      <c r="A33" s="27" t="s">
        <v>394</v>
      </c>
      <c r="B33" s="2"/>
      <c r="C33" s="84">
        <f>C31*'3_Giả định'!$D$18</f>
        <v>2645938.771</v>
      </c>
      <c r="D33" s="84">
        <f>D31*'3_Giả định'!$D$18</f>
        <v>4741522.278</v>
      </c>
      <c r="E33" s="84">
        <f>E31*'3_Giả định'!$D$18</f>
        <v>6421545.225</v>
      </c>
      <c r="F33" s="84">
        <f>F31*'3_Giả định'!$D$18</f>
        <v>7788538.29</v>
      </c>
      <c r="G33" s="84">
        <f>G31*'3_Giả định'!$D$18</f>
        <v>8920514.265</v>
      </c>
      <c r="H33" s="84">
        <f>H31*'3_Giả định'!$D$18</f>
        <v>9876855.212</v>
      </c>
      <c r="I33" s="84">
        <f>I31*'3_Giả định'!$D$18</f>
        <v>10702786.79</v>
      </c>
      <c r="J33" s="84">
        <f>J31*'3_Giả định'!$D$18</f>
        <v>11432778.85</v>
      </c>
      <c r="K33" s="84">
        <f>K31*'3_Giả định'!$D$18</f>
        <v>12093129.96</v>
      </c>
      <c r="L33" s="84">
        <f>L31*'3_Giả định'!$D$18</f>
        <v>12703931.79</v>
      </c>
      <c r="M33" s="84">
        <f>M31*'3_Giả định'!$D$18</f>
        <v>13280562.07</v>
      </c>
      <c r="N33" s="84">
        <f>N31*'3_Giả định'!$D$18</f>
        <v>13834819.45</v>
      </c>
      <c r="O33" s="84">
        <f>O31*'3_Giả định'!$D$18</f>
        <v>14375786.01</v>
      </c>
      <c r="P33" s="84">
        <f>P31*'3_Giả định'!$D$18</f>
        <v>14910482.94</v>
      </c>
      <c r="Q33" s="84">
        <f>Q31*'3_Giả định'!$D$18</f>
        <v>15444368.94</v>
      </c>
      <c r="R33" s="84">
        <f>R31*'3_Giả định'!$D$18</f>
        <v>15981719.17</v>
      </c>
      <c r="S33" s="84">
        <f>S31*'3_Giả định'!$D$18</f>
        <v>16525913.3</v>
      </c>
      <c r="T33" s="84">
        <f>T31*'3_Giả định'!$D$18</f>
        <v>17079654.65</v>
      </c>
      <c r="U33" s="84">
        <f>U31*'3_Giả định'!$D$18</f>
        <v>17645136.82</v>
      </c>
      <c r="V33" s="84">
        <f>V31*'3_Giả định'!$D$18</f>
        <v>18224170.45</v>
      </c>
      <c r="W33" s="84">
        <f>W31*'3_Giả định'!$D$18</f>
        <v>18818279.73</v>
      </c>
      <c r="X33" s="84">
        <f>X31*'3_Giả định'!$D$18</f>
        <v>19428775.91</v>
      </c>
      <c r="Y33" s="84">
        <f>Y31*'3_Giả định'!$D$18</f>
        <v>20056813.27</v>
      </c>
      <c r="Z33" s="84">
        <f>Z31*'3_Giả định'!$D$18</f>
        <v>20703431.86</v>
      </c>
    </row>
    <row r="34" ht="15.0" customHeight="1">
      <c r="A34" s="27" t="s">
        <v>140</v>
      </c>
      <c r="B34" s="2"/>
      <c r="C34" s="84">
        <f t="shared" ref="C34:Z34" si="9">C32-C33</f>
        <v>14094061.23</v>
      </c>
      <c r="D34" s="84">
        <f t="shared" si="9"/>
        <v>25256557.72</v>
      </c>
      <c r="E34" s="84">
        <f t="shared" si="9"/>
        <v>34205497.33</v>
      </c>
      <c r="F34" s="84">
        <f t="shared" si="9"/>
        <v>41487027.87</v>
      </c>
      <c r="G34" s="84">
        <f t="shared" si="9"/>
        <v>47516698.28</v>
      </c>
      <c r="H34" s="84">
        <f t="shared" si="9"/>
        <v>52610817.61</v>
      </c>
      <c r="I34" s="84">
        <f t="shared" si="9"/>
        <v>57010288.37</v>
      </c>
      <c r="J34" s="84">
        <f t="shared" si="9"/>
        <v>60898720.28</v>
      </c>
      <c r="K34" s="84">
        <f t="shared" si="9"/>
        <v>64416197.38</v>
      </c>
      <c r="L34" s="84">
        <f t="shared" si="9"/>
        <v>67669741.41</v>
      </c>
      <c r="M34" s="84">
        <f t="shared" si="9"/>
        <v>70741264.67</v>
      </c>
      <c r="N34" s="84">
        <f t="shared" si="9"/>
        <v>73693614.72</v>
      </c>
      <c r="O34" s="84">
        <f t="shared" si="9"/>
        <v>76575168.86</v>
      </c>
      <c r="P34" s="84">
        <f t="shared" si="9"/>
        <v>79423326.71</v>
      </c>
      <c r="Q34" s="84">
        <f t="shared" si="9"/>
        <v>82267165.02</v>
      </c>
      <c r="R34" s="84">
        <f t="shared" si="9"/>
        <v>85129456.11</v>
      </c>
      <c r="S34" s="84">
        <f t="shared" si="9"/>
        <v>88028202.48</v>
      </c>
      <c r="T34" s="84">
        <f t="shared" si="9"/>
        <v>90977803.83</v>
      </c>
      <c r="U34" s="84">
        <f t="shared" si="9"/>
        <v>93989944.69</v>
      </c>
      <c r="V34" s="84">
        <f t="shared" si="9"/>
        <v>97074269.79</v>
      </c>
      <c r="W34" s="84">
        <f t="shared" si="9"/>
        <v>100238898</v>
      </c>
      <c r="X34" s="84">
        <f t="shared" si="9"/>
        <v>103490814</v>
      </c>
      <c r="Y34" s="84">
        <f t="shared" si="9"/>
        <v>106836166.2</v>
      </c>
      <c r="Z34" s="84">
        <f t="shared" si="9"/>
        <v>110280494.6</v>
      </c>
    </row>
    <row r="35" ht="15.0" customHeight="1">
      <c r="A35" s="27" t="s">
        <v>403</v>
      </c>
      <c r="B35" s="2"/>
      <c r="C35" s="84">
        <f>C30*'3_Giả định'!$D$10</f>
        <v>157500000</v>
      </c>
      <c r="D35" s="84">
        <f>D30*'3_Giả định'!$D$10</f>
        <v>162540000</v>
      </c>
      <c r="E35" s="84">
        <f>E30*'3_Giả định'!$D$10</f>
        <v>167741280</v>
      </c>
      <c r="F35" s="84">
        <f>F30*'3_Giả định'!$D$10</f>
        <v>173109001</v>
      </c>
      <c r="G35" s="84">
        <f>G30*'3_Giả định'!$D$10</f>
        <v>178648489</v>
      </c>
      <c r="H35" s="84">
        <f>H30*'3_Giả định'!$D$10</f>
        <v>184365240.6</v>
      </c>
      <c r="I35" s="84">
        <f>I30*'3_Giả định'!$D$10</f>
        <v>190264928.3</v>
      </c>
      <c r="J35" s="84">
        <f>J30*'3_Giả định'!$D$10</f>
        <v>196353406</v>
      </c>
      <c r="K35" s="84">
        <f>K30*'3_Giả định'!$D$10</f>
        <v>202636715</v>
      </c>
      <c r="L35" s="84">
        <f>L30*'3_Giả định'!$D$10</f>
        <v>209121089.9</v>
      </c>
      <c r="M35" s="84">
        <f>M30*'3_Giả định'!$D$10</f>
        <v>215812964.8</v>
      </c>
      <c r="N35" s="84">
        <f>N30*'3_Giả định'!$D$10</f>
        <v>222718979.7</v>
      </c>
      <c r="O35" s="84">
        <f>O30*'3_Giả định'!$D$10</f>
        <v>229845987</v>
      </c>
      <c r="P35" s="84">
        <f>P30*'3_Giả định'!$D$10</f>
        <v>237201058.6</v>
      </c>
      <c r="Q35" s="84">
        <f>Q30*'3_Giả định'!$D$10</f>
        <v>244791492.5</v>
      </c>
      <c r="R35" s="84">
        <f>R30*'3_Giả định'!$D$10</f>
        <v>252624820.2</v>
      </c>
      <c r="S35" s="84">
        <f>S30*'3_Giả định'!$D$10</f>
        <v>260708814.5</v>
      </c>
      <c r="T35" s="84">
        <f>T30*'3_Giả định'!$D$10</f>
        <v>269051496.6</v>
      </c>
      <c r="U35" s="84">
        <f>U30*'3_Giả định'!$D$10</f>
        <v>277661144.4</v>
      </c>
      <c r="V35" s="84">
        <f>V30*'3_Giả định'!$D$10</f>
        <v>286546301.1</v>
      </c>
      <c r="W35" s="84">
        <f>W30*'3_Giả định'!$D$10</f>
        <v>295715782.7</v>
      </c>
      <c r="X35" s="84">
        <f>X30*'3_Giả định'!$D$10</f>
        <v>305178687.7</v>
      </c>
      <c r="Y35" s="84">
        <f>Y30*'3_Giả định'!$D$10</f>
        <v>314944405.8</v>
      </c>
      <c r="Z35" s="84">
        <f>Z30*'3_Giả định'!$D$10</f>
        <v>325022626.7</v>
      </c>
    </row>
    <row r="36" ht="15.0" customHeight="1">
      <c r="A36" s="27" t="s">
        <v>411</v>
      </c>
      <c r="B36" s="2"/>
      <c r="C36" s="84">
        <f>'3_Giả định'!$D$11</f>
        <v>120000000</v>
      </c>
      <c r="D36" s="84">
        <f>'3_Giả định'!$D$11</f>
        <v>120000000</v>
      </c>
      <c r="E36" s="84">
        <f>'3_Giả định'!$D$11</f>
        <v>120000000</v>
      </c>
      <c r="F36" s="84">
        <f>'3_Giả định'!$D$11</f>
        <v>120000000</v>
      </c>
      <c r="G36" s="84">
        <f>'3_Giả định'!$D$11</f>
        <v>120000000</v>
      </c>
      <c r="H36" s="84">
        <f>'3_Giả định'!$D$11</f>
        <v>120000000</v>
      </c>
      <c r="I36" s="84">
        <f>'3_Giả định'!$D$11</f>
        <v>120000000</v>
      </c>
      <c r="J36" s="84">
        <f>'3_Giả định'!$D$11</f>
        <v>120000000</v>
      </c>
      <c r="K36" s="84">
        <f>'3_Giả định'!$D$11</f>
        <v>120000000</v>
      </c>
      <c r="L36" s="84">
        <f>'3_Giả định'!$D$11</f>
        <v>120000000</v>
      </c>
      <c r="M36" s="84">
        <f>'3_Giả định'!$D$11</f>
        <v>120000000</v>
      </c>
      <c r="N36" s="84">
        <f>'3_Giả định'!$D$11</f>
        <v>120000000</v>
      </c>
      <c r="O36" s="84">
        <f>'3_Giả định'!$D$11</f>
        <v>120000000</v>
      </c>
      <c r="P36" s="84">
        <f>'3_Giả định'!$D$11</f>
        <v>120000000</v>
      </c>
      <c r="Q36" s="84">
        <f>'3_Giả định'!$D$11</f>
        <v>120000000</v>
      </c>
      <c r="R36" s="84">
        <f>'3_Giả định'!$D$11</f>
        <v>120000000</v>
      </c>
      <c r="S36" s="84">
        <f>'3_Giả định'!$D$11</f>
        <v>120000000</v>
      </c>
      <c r="T36" s="84">
        <f>'3_Giả định'!$D$11</f>
        <v>120000000</v>
      </c>
      <c r="U36" s="84">
        <f>'3_Giả định'!$D$11</f>
        <v>120000000</v>
      </c>
      <c r="V36" s="84">
        <f>'3_Giả định'!$D$11</f>
        <v>120000000</v>
      </c>
      <c r="W36" s="84">
        <f>'3_Giả định'!$D$11</f>
        <v>120000000</v>
      </c>
      <c r="X36" s="84">
        <f>'3_Giả định'!$D$11</f>
        <v>120000000</v>
      </c>
      <c r="Y36" s="84">
        <f>'3_Giả định'!$D$11</f>
        <v>120000000</v>
      </c>
      <c r="Z36" s="84">
        <f>'3_Giả định'!$D$11</f>
        <v>120000000</v>
      </c>
    </row>
    <row r="37" ht="15.0" customHeight="1">
      <c r="A37" s="27" t="s">
        <v>416</v>
      </c>
      <c r="B37" s="84">
        <f>-'3_Giả định'!$D$12</f>
        <v>-400000000</v>
      </c>
      <c r="C37" s="84">
        <f t="shared" ref="C37:Z37" si="10">C34-C35-C36</f>
        <v>-263405938.8</v>
      </c>
      <c r="D37" s="84">
        <f t="shared" si="10"/>
        <v>-257283442.3</v>
      </c>
      <c r="E37" s="84">
        <f t="shared" si="10"/>
        <v>-253535782.7</v>
      </c>
      <c r="F37" s="84">
        <f t="shared" si="10"/>
        <v>-251621973.1</v>
      </c>
      <c r="G37" s="84">
        <f t="shared" si="10"/>
        <v>-251131790.7</v>
      </c>
      <c r="H37" s="84">
        <f t="shared" si="10"/>
        <v>-251754423</v>
      </c>
      <c r="I37" s="84">
        <f t="shared" si="10"/>
        <v>-253254640</v>
      </c>
      <c r="J37" s="84">
        <f t="shared" si="10"/>
        <v>-255454685.8</v>
      </c>
      <c r="K37" s="84">
        <f t="shared" si="10"/>
        <v>-258220517.7</v>
      </c>
      <c r="L37" s="84">
        <f t="shared" si="10"/>
        <v>-261451348.5</v>
      </c>
      <c r="M37" s="84">
        <f t="shared" si="10"/>
        <v>-265071700.1</v>
      </c>
      <c r="N37" s="84">
        <f t="shared" si="10"/>
        <v>-269025365</v>
      </c>
      <c r="O37" s="84">
        <f t="shared" si="10"/>
        <v>-273270818.2</v>
      </c>
      <c r="P37" s="84">
        <f t="shared" si="10"/>
        <v>-277777731.9</v>
      </c>
      <c r="Q37" s="84">
        <f t="shared" si="10"/>
        <v>-282524327.5</v>
      </c>
      <c r="R37" s="84">
        <f t="shared" si="10"/>
        <v>-287495364.1</v>
      </c>
      <c r="S37" s="84">
        <f t="shared" si="10"/>
        <v>-292680612</v>
      </c>
      <c r="T37" s="84">
        <f t="shared" si="10"/>
        <v>-298073692.7</v>
      </c>
      <c r="U37" s="84">
        <f t="shared" si="10"/>
        <v>-303671199.8</v>
      </c>
      <c r="V37" s="84">
        <f t="shared" si="10"/>
        <v>-309472031.3</v>
      </c>
      <c r="W37" s="84">
        <f t="shared" si="10"/>
        <v>-315476884.7</v>
      </c>
      <c r="X37" s="84">
        <f t="shared" si="10"/>
        <v>-321687873.7</v>
      </c>
      <c r="Y37" s="84">
        <f t="shared" si="10"/>
        <v>-328108239.6</v>
      </c>
      <c r="Z37" s="84">
        <f t="shared" si="10"/>
        <v>-334742132.2</v>
      </c>
    </row>
    <row r="38" ht="15.0" customHeight="1">
      <c r="A38" s="27" t="s">
        <v>417</v>
      </c>
      <c r="B38" s="84">
        <f>'3_Giả định'!$D$13+B37</f>
        <v>1100000000</v>
      </c>
      <c r="C38" s="84">
        <f t="shared" ref="C38:Z38" si="11">B38+C37</f>
        <v>836594061.2</v>
      </c>
      <c r="D38" s="84">
        <f t="shared" si="11"/>
        <v>579310619</v>
      </c>
      <c r="E38" s="84">
        <f t="shared" si="11"/>
        <v>325774836.3</v>
      </c>
      <c r="F38" s="84">
        <f t="shared" si="11"/>
        <v>74152863.2</v>
      </c>
      <c r="G38" s="84">
        <f t="shared" si="11"/>
        <v>-176978927.5</v>
      </c>
      <c r="H38" s="84">
        <f t="shared" si="11"/>
        <v>-428733350.5</v>
      </c>
      <c r="I38" s="84">
        <f t="shared" si="11"/>
        <v>-681987990.5</v>
      </c>
      <c r="J38" s="84">
        <f t="shared" si="11"/>
        <v>-937442676.3</v>
      </c>
      <c r="K38" s="84">
        <f t="shared" si="11"/>
        <v>-1195663194</v>
      </c>
      <c r="L38" s="84">
        <f t="shared" si="11"/>
        <v>-1457114542</v>
      </c>
      <c r="M38" s="84">
        <f t="shared" si="11"/>
        <v>-1722186243</v>
      </c>
      <c r="N38" s="84">
        <f t="shared" si="11"/>
        <v>-1991211608</v>
      </c>
      <c r="O38" s="84">
        <f t="shared" si="11"/>
        <v>-2264482426</v>
      </c>
      <c r="P38" s="84">
        <f t="shared" si="11"/>
        <v>-2542260158</v>
      </c>
      <c r="Q38" s="84">
        <f t="shared" si="11"/>
        <v>-2824784485</v>
      </c>
      <c r="R38" s="84">
        <f t="shared" si="11"/>
        <v>-3112279849</v>
      </c>
      <c r="S38" s="84">
        <f t="shared" si="11"/>
        <v>-3404960461</v>
      </c>
      <c r="T38" s="84">
        <f t="shared" si="11"/>
        <v>-3703034154</v>
      </c>
      <c r="U38" s="84">
        <f t="shared" si="11"/>
        <v>-4006705354</v>
      </c>
      <c r="V38" s="84">
        <f t="shared" si="11"/>
        <v>-4316177385</v>
      </c>
      <c r="W38" s="84">
        <f t="shared" si="11"/>
        <v>-4631654270</v>
      </c>
      <c r="X38" s="84">
        <f t="shared" si="11"/>
        <v>-4953342143</v>
      </c>
      <c r="Y38" s="84">
        <f t="shared" si="11"/>
        <v>-5281450383</v>
      </c>
      <c r="Z38" s="84">
        <f t="shared" si="11"/>
        <v>-5616192515</v>
      </c>
    </row>
    <row r="39" ht="15.0" customHeight="1">
      <c r="A39" s="27" t="s">
        <v>418</v>
      </c>
      <c r="B39" s="84">
        <f>B37</f>
        <v>-400000000</v>
      </c>
      <c r="C39" s="84">
        <f t="shared" ref="C39:Z39" si="12">B39+C37</f>
        <v>-663405938.8</v>
      </c>
      <c r="D39" s="84">
        <f t="shared" si="12"/>
        <v>-920689381</v>
      </c>
      <c r="E39" s="84">
        <f t="shared" si="12"/>
        <v>-1174225164</v>
      </c>
      <c r="F39" s="84">
        <f t="shared" si="12"/>
        <v>-1425847137</v>
      </c>
      <c r="G39" s="84">
        <f t="shared" si="12"/>
        <v>-1676978928</v>
      </c>
      <c r="H39" s="84">
        <f t="shared" si="12"/>
        <v>-1928733351</v>
      </c>
      <c r="I39" s="84">
        <f t="shared" si="12"/>
        <v>-2181987991</v>
      </c>
      <c r="J39" s="84">
        <f t="shared" si="12"/>
        <v>-2437442676</v>
      </c>
      <c r="K39" s="84">
        <f t="shared" si="12"/>
        <v>-2695663194</v>
      </c>
      <c r="L39" s="84">
        <f t="shared" si="12"/>
        <v>-2957114542</v>
      </c>
      <c r="M39" s="84">
        <f t="shared" si="12"/>
        <v>-3222186243</v>
      </c>
      <c r="N39" s="84">
        <f t="shared" si="12"/>
        <v>-3491211608</v>
      </c>
      <c r="O39" s="84">
        <f t="shared" si="12"/>
        <v>-3764482426</v>
      </c>
      <c r="P39" s="84">
        <f t="shared" si="12"/>
        <v>-4042260158</v>
      </c>
      <c r="Q39" s="84">
        <f t="shared" si="12"/>
        <v>-4324784485</v>
      </c>
      <c r="R39" s="84">
        <f t="shared" si="12"/>
        <v>-4612279849</v>
      </c>
      <c r="S39" s="84">
        <f t="shared" si="12"/>
        <v>-4904960461</v>
      </c>
      <c r="T39" s="84">
        <f t="shared" si="12"/>
        <v>-5203034154</v>
      </c>
      <c r="U39" s="84">
        <f t="shared" si="12"/>
        <v>-5506705354</v>
      </c>
      <c r="V39" s="84">
        <f t="shared" si="12"/>
        <v>-5816177385</v>
      </c>
      <c r="W39" s="84">
        <f t="shared" si="12"/>
        <v>-6131654270</v>
      </c>
      <c r="X39" s="84">
        <f t="shared" si="12"/>
        <v>-6453342143</v>
      </c>
      <c r="Y39" s="84">
        <f t="shared" si="12"/>
        <v>-6781450383</v>
      </c>
      <c r="Z39" s="84">
        <f t="shared" si="12"/>
        <v>-7116192515</v>
      </c>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0" customHeight="1">
      <c r="A42" s="91" t="s">
        <v>513</v>
      </c>
      <c r="B42" s="2"/>
      <c r="C42" s="2"/>
      <c r="D42" s="2"/>
      <c r="E42" s="2"/>
      <c r="F42" s="2"/>
      <c r="G42" s="2"/>
      <c r="H42" s="2"/>
      <c r="I42" s="2"/>
      <c r="J42" s="2"/>
      <c r="K42" s="2"/>
      <c r="L42" s="2"/>
      <c r="M42" s="2"/>
      <c r="N42" s="2"/>
      <c r="O42" s="2"/>
      <c r="P42" s="2"/>
      <c r="Q42" s="2"/>
      <c r="R42" s="2"/>
      <c r="S42" s="2"/>
      <c r="T42" s="2"/>
      <c r="U42" s="2"/>
      <c r="V42" s="2"/>
      <c r="W42" s="2"/>
      <c r="X42" s="2"/>
      <c r="Y42" s="2"/>
      <c r="Z42" s="2"/>
    </row>
    <row r="43" ht="26.25" customHeight="1">
      <c r="A43" s="11" t="s">
        <v>318</v>
      </c>
      <c r="B43" s="11" t="s">
        <v>262</v>
      </c>
      <c r="C43" s="11" t="s">
        <v>263</v>
      </c>
      <c r="D43" s="11" t="s">
        <v>264</v>
      </c>
      <c r="E43" s="11" t="s">
        <v>319</v>
      </c>
      <c r="F43" s="2"/>
      <c r="G43" s="2"/>
      <c r="H43" s="2"/>
      <c r="I43" s="2"/>
      <c r="J43" s="2"/>
      <c r="K43" s="2"/>
      <c r="L43" s="2"/>
      <c r="M43" s="2"/>
      <c r="N43" s="2"/>
      <c r="O43" s="2"/>
      <c r="P43" s="2"/>
      <c r="Q43" s="2"/>
      <c r="R43" s="2"/>
      <c r="S43" s="2"/>
      <c r="T43" s="2"/>
      <c r="U43" s="2"/>
      <c r="V43" s="2"/>
      <c r="W43" s="2"/>
      <c r="X43" s="2"/>
      <c r="Y43" s="2"/>
      <c r="Z43" s="2"/>
    </row>
    <row r="44" ht="31.5" customHeight="1">
      <c r="A44" s="7" t="s">
        <v>514</v>
      </c>
      <c r="B44" s="33">
        <f t="array" ref="B44">B13+NPV('3_Giả định'!$B$14/12,C13:Z13)</f>
        <v>1981126391</v>
      </c>
      <c r="C44" s="33">
        <f t="array" ref="C44">B25+NPV('3_Giả định'!$C$14/12,C25:Z25)</f>
        <v>-5591201777</v>
      </c>
      <c r="D44" s="33">
        <f t="array" ref="D44">B37+NPV('3_Giả định'!$D$14/12,C37:Z37)</f>
        <v>-6128196562</v>
      </c>
      <c r="E44" s="2" t="s">
        <v>386</v>
      </c>
      <c r="F44" s="2"/>
      <c r="G44" s="2"/>
      <c r="H44" s="2"/>
      <c r="I44" s="2"/>
      <c r="J44" s="2"/>
      <c r="K44" s="2"/>
      <c r="L44" s="2"/>
      <c r="M44" s="2"/>
      <c r="N44" s="2"/>
      <c r="O44" s="2"/>
      <c r="P44" s="2"/>
      <c r="Q44" s="2"/>
      <c r="R44" s="2"/>
      <c r="S44" s="2"/>
      <c r="T44" s="2"/>
      <c r="U44" s="2"/>
      <c r="V44" s="2"/>
      <c r="W44" s="2"/>
      <c r="X44" s="2"/>
      <c r="Y44" s="2"/>
      <c r="Z44" s="2"/>
    </row>
    <row r="45" ht="15.0" customHeight="1">
      <c r="A45" s="27" t="s">
        <v>515</v>
      </c>
      <c r="B45" s="38">
        <f>IFERROR((1+IRR(B13:Z13,0.01))^12-1,"Không tính được")</f>
        <v>0.9123428331</v>
      </c>
      <c r="C45" s="38" t="str">
        <f>IFERROR((1+IRR(B25:Z25,0.01))^12-1,"Không tính được")</f>
        <v>Không tính được</v>
      </c>
      <c r="D45" s="38" t="str">
        <f>IFERROR((1+IRR(B37:Z37,0.01))^12-1,"Không tính được")</f>
        <v>Không tính được</v>
      </c>
      <c r="E45" s="2" t="s">
        <v>516</v>
      </c>
      <c r="F45" s="40" t="s">
        <v>517</v>
      </c>
      <c r="G45" s="2"/>
      <c r="H45" s="2"/>
      <c r="I45" s="2"/>
      <c r="J45" s="2"/>
      <c r="K45" s="2"/>
      <c r="L45" s="2"/>
      <c r="M45" s="2"/>
      <c r="N45" s="2"/>
      <c r="O45" s="2"/>
      <c r="P45" s="2"/>
      <c r="Q45" s="2"/>
      <c r="R45" s="2"/>
      <c r="S45" s="2"/>
      <c r="T45" s="2"/>
      <c r="U45" s="2"/>
      <c r="V45" s="2"/>
      <c r="W45" s="2"/>
      <c r="X45" s="2"/>
      <c r="Y45" s="2"/>
      <c r="Z45" s="2"/>
    </row>
    <row r="46" ht="15.0" customHeight="1">
      <c r="A46" s="27" t="s">
        <v>518</v>
      </c>
      <c r="B46" s="33">
        <f>MIN(B14:Z14)</f>
        <v>-470952092.2</v>
      </c>
      <c r="C46" s="33">
        <f>MIN(B26:Z26)</f>
        <v>-4966748318</v>
      </c>
      <c r="D46" s="33">
        <f>MIN(B38:Z38)</f>
        <v>-5616192515</v>
      </c>
      <c r="E46" s="2" t="s">
        <v>386</v>
      </c>
      <c r="F46" s="2"/>
      <c r="G46" s="2"/>
      <c r="H46" s="2"/>
      <c r="I46" s="2"/>
      <c r="J46" s="2"/>
      <c r="K46" s="2"/>
      <c r="L46" s="2"/>
      <c r="M46" s="2"/>
      <c r="N46" s="2"/>
      <c r="O46" s="2"/>
      <c r="P46" s="2"/>
      <c r="Q46" s="2"/>
      <c r="R46" s="2"/>
      <c r="S46" s="2"/>
      <c r="T46" s="2"/>
      <c r="U46" s="2"/>
      <c r="V46" s="2"/>
      <c r="W46" s="2"/>
      <c r="X46" s="2"/>
      <c r="Y46" s="2"/>
      <c r="Z46" s="2"/>
    </row>
    <row r="47" ht="15.0" customHeight="1">
      <c r="A47" s="27" t="s">
        <v>519</v>
      </c>
      <c r="B47" s="86">
        <f t="array" ref="B47">IF('3_Giả định'!B7=0,"Chưa điền",IFERROR(MATCH(TRUE(),INDEX(C14:Z14&lt;0,0),0),"Không hết tiền trong 24 tháng"))</f>
        <v>5</v>
      </c>
      <c r="C47" s="86">
        <f t="array" ref="C47">IF('3_Giả định'!C7=0,"Chưa điền",IFERROR(MATCH(TRUE(),INDEX(C26:Z26&lt;0,0),0),"Không hết tiền trong 24 tháng"))</f>
        <v>5</v>
      </c>
      <c r="D47" s="86">
        <f t="array" ref="D47">IF('3_Giả định'!D7=0,"Chưa điền",IFERROR(MATCH(TRUE(),INDEX(C38:Z38&lt;0,0),0),"Không hết tiền trong 24 tháng"))</f>
        <v>5</v>
      </c>
      <c r="E47" s="2" t="s">
        <v>520</v>
      </c>
      <c r="F47" s="40" t="s">
        <v>521</v>
      </c>
      <c r="G47" s="2"/>
      <c r="H47" s="2"/>
      <c r="I47" s="2"/>
      <c r="J47" s="2"/>
      <c r="K47" s="2"/>
      <c r="L47" s="2"/>
      <c r="M47" s="2"/>
      <c r="N47" s="2"/>
      <c r="O47" s="2"/>
      <c r="P47" s="2"/>
      <c r="Q47" s="2"/>
      <c r="R47" s="2"/>
      <c r="S47" s="2"/>
      <c r="T47" s="2"/>
      <c r="U47" s="2"/>
      <c r="V47" s="2"/>
      <c r="W47" s="2"/>
      <c r="X47" s="2"/>
      <c r="Y47" s="2"/>
      <c r="Z47" s="2"/>
    </row>
    <row r="48" ht="15.0" customHeight="1">
      <c r="A48" s="27" t="s">
        <v>522</v>
      </c>
      <c r="B48" s="86">
        <f t="array" ref="B48">IF('3_Giả định'!B7=0,"Chưa điền",IFERROR(MATCH(TRUE(),INDEX(C15:Z15&gt;=0,0),0),"Chưa hoàn vốn trong 24 tháng"))</f>
        <v>20</v>
      </c>
      <c r="C48" s="86" t="str">
        <f t="array" ref="C48">IF('3_Giả định'!C7=0,"Chưa điền",IFERROR(MATCH(TRUE(),INDEX(C27:Z27&gt;=0,0),0),"Chưa hoàn vốn trong 24 tháng"))</f>
        <v>Chưa hoàn vốn trong 24 tháng</v>
      </c>
      <c r="D48" s="86" t="str">
        <f t="array" ref="D48">IF('3_Giả định'!D7=0,"Chưa điền",IFERROR(MATCH(TRUE(),INDEX(C39:Z39&gt;=0,0),0),"Chưa hoàn vốn trong 24 tháng"))</f>
        <v>Chưa hoàn vốn trong 24 tháng</v>
      </c>
      <c r="E48" s="2" t="s">
        <v>523</v>
      </c>
      <c r="F48" s="2"/>
      <c r="G48" s="2"/>
      <c r="H48" s="2"/>
      <c r="I48" s="2"/>
      <c r="J48" s="2"/>
      <c r="K48" s="2"/>
      <c r="L48" s="2"/>
      <c r="M48" s="2"/>
      <c r="N48" s="2"/>
      <c r="O48" s="2"/>
      <c r="P48" s="2"/>
      <c r="Q48" s="2"/>
      <c r="R48" s="2"/>
      <c r="S48" s="2"/>
      <c r="T48" s="2"/>
      <c r="U48" s="2"/>
      <c r="V48" s="2"/>
      <c r="W48" s="2"/>
      <c r="X48" s="2"/>
      <c r="Y48" s="2"/>
      <c r="Z48" s="2"/>
    </row>
    <row r="49" ht="15.0" customHeight="1">
      <c r="A49" s="27" t="s">
        <v>524</v>
      </c>
      <c r="B49" s="60">
        <f t="shared" ref="B49:B50" si="13">Z7</f>
        <v>32026.61585</v>
      </c>
      <c r="C49" s="60">
        <f t="shared" ref="C49:C50" si="14">Z19</f>
        <v>8244.714808</v>
      </c>
      <c r="D49" s="60">
        <f t="shared" ref="D49:D50" si="15">Z31</f>
        <v>1173.691097</v>
      </c>
      <c r="E49" s="2"/>
      <c r="F49" s="2"/>
      <c r="G49" s="2"/>
      <c r="H49" s="2"/>
      <c r="I49" s="2"/>
      <c r="J49" s="2"/>
      <c r="K49" s="2"/>
      <c r="L49" s="2"/>
      <c r="M49" s="2"/>
      <c r="N49" s="2"/>
      <c r="O49" s="2"/>
      <c r="P49" s="2"/>
      <c r="Q49" s="2"/>
      <c r="R49" s="2"/>
      <c r="S49" s="2"/>
      <c r="T49" s="2"/>
      <c r="U49" s="2"/>
      <c r="V49" s="2"/>
      <c r="W49" s="2"/>
      <c r="X49" s="2"/>
      <c r="Y49" s="2"/>
      <c r="Z49" s="2"/>
    </row>
    <row r="50" ht="15.0" customHeight="1">
      <c r="A50" s="27" t="s">
        <v>525</v>
      </c>
      <c r="B50" s="33">
        <f t="shared" si="13"/>
        <v>4914484201</v>
      </c>
      <c r="C50" s="33">
        <f t="shared" si="14"/>
        <v>1150137716</v>
      </c>
      <c r="D50" s="33">
        <f t="shared" si="15"/>
        <v>130983926.4</v>
      </c>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0" customHeight="1">
      <c r="A53" s="91" t="s">
        <v>526</v>
      </c>
      <c r="B53" s="2"/>
      <c r="C53" s="2"/>
      <c r="D53" s="2"/>
      <c r="E53" s="2"/>
      <c r="F53" s="2"/>
      <c r="G53" s="2"/>
      <c r="H53" s="2"/>
      <c r="I53" s="2"/>
      <c r="J53" s="2"/>
      <c r="K53" s="2"/>
      <c r="L53" s="2"/>
      <c r="M53" s="2"/>
      <c r="N53" s="2"/>
      <c r="O53" s="2"/>
      <c r="P53" s="2"/>
      <c r="Q53" s="2"/>
      <c r="R53" s="2"/>
      <c r="S53" s="2"/>
      <c r="T53" s="2"/>
      <c r="U53" s="2"/>
      <c r="V53" s="2"/>
      <c r="W53" s="2"/>
      <c r="X53" s="2"/>
      <c r="Y53" s="2"/>
      <c r="Z53" s="2"/>
    </row>
    <row r="54" ht="15.0" customHeight="1">
      <c r="A54" s="2" t="s">
        <v>527</v>
      </c>
      <c r="B54" s="94">
        <v>0.2</v>
      </c>
      <c r="C54" s="40" t="s">
        <v>528</v>
      </c>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45.0" customHeight="1">
      <c r="A56" s="95" t="s">
        <v>529</v>
      </c>
      <c r="B56" s="96" t="s">
        <v>530</v>
      </c>
      <c r="C56" s="96" t="s">
        <v>531</v>
      </c>
      <c r="D56" s="96" t="s">
        <v>532</v>
      </c>
      <c r="E56" s="96" t="s">
        <v>533</v>
      </c>
      <c r="F56" s="96" t="s">
        <v>519</v>
      </c>
      <c r="G56" s="96" t="s">
        <v>534</v>
      </c>
      <c r="H56" s="96" t="s">
        <v>535</v>
      </c>
      <c r="I56" s="2"/>
      <c r="J56" s="2"/>
      <c r="K56" s="2"/>
      <c r="L56" s="2"/>
      <c r="M56" s="2"/>
      <c r="N56" s="2"/>
      <c r="O56" s="2"/>
      <c r="P56" s="2"/>
      <c r="Q56" s="2"/>
      <c r="R56" s="2"/>
      <c r="S56" s="2"/>
      <c r="T56" s="2"/>
      <c r="U56" s="2"/>
      <c r="V56" s="2"/>
      <c r="W56" s="2"/>
      <c r="X56" s="2"/>
      <c r="Y56" s="2"/>
      <c r="Z56" s="2"/>
    </row>
    <row r="57" ht="27.75" customHeight="1">
      <c r="A57" s="8" t="s">
        <v>536</v>
      </c>
      <c r="B57" s="97" t="s">
        <v>537</v>
      </c>
      <c r="C57" s="97" t="s">
        <v>537</v>
      </c>
      <c r="D57" s="98">
        <f t="array" ref="D57">(B94+NPV($K$80/12,C94:Z94))/1000000</f>
        <v>-5591.201777</v>
      </c>
      <c r="E57" s="97" t="s">
        <v>537</v>
      </c>
      <c r="F57" s="99">
        <f t="array" ref="F57">IFERROR(MATCH(TRUE(),INDEX(C95:Z95&lt;0,0),0),"Không hết tiền trong 24 tháng")</f>
        <v>5</v>
      </c>
      <c r="G57" s="99" t="str">
        <f t="array" ref="G57">IFERROR(MATCH(TRUE(),INDEX(C96:Z96&gt;=0,0),0),"Chưa hoàn vốn trong 24 tháng")</f>
        <v>Chưa hoàn vốn trong 24 tháng</v>
      </c>
      <c r="H57" s="2"/>
      <c r="I57" s="2"/>
      <c r="J57" s="2"/>
      <c r="K57" s="2"/>
      <c r="L57" s="2"/>
      <c r="M57" s="2"/>
      <c r="N57" s="2"/>
      <c r="O57" s="2"/>
      <c r="P57" s="2"/>
      <c r="Q57" s="2"/>
      <c r="R57" s="2"/>
      <c r="S57" s="2"/>
      <c r="T57" s="2"/>
      <c r="U57" s="2"/>
      <c r="V57" s="2"/>
      <c r="W57" s="2"/>
      <c r="X57" s="2"/>
      <c r="Y57" s="2"/>
      <c r="Z57" s="2"/>
    </row>
    <row r="58" ht="27.75" customHeight="1">
      <c r="A58" s="2" t="s">
        <v>538</v>
      </c>
      <c r="B58" s="98">
        <f>'3_Giả định'!$C$17</f>
        <v>139500</v>
      </c>
      <c r="C58" s="98">
        <f>B81</f>
        <v>111600</v>
      </c>
      <c r="D58" s="98">
        <f t="array" ref="D58">(B100+NPV($K$81/12,C100:Z100))/1000000</f>
        <v>-7561.80079</v>
      </c>
      <c r="E58" s="98">
        <f t="shared" ref="E58:E64" si="16">D58-$D$57</f>
        <v>-1970.599012</v>
      </c>
      <c r="F58" s="99">
        <f t="array" ref="F58">IFERROR(MATCH(TRUE(),INDEX(C101:Z101&lt;0,0),0),"Không hết tiền trong 24 tháng")</f>
        <v>4</v>
      </c>
      <c r="G58" s="99" t="str">
        <f t="array" ref="G58">IFERROR(MATCH(TRUE(),INDEX(C102:Z102&gt;=0,0),0),"Chưa hoàn vốn trong 24 tháng")</f>
        <v>Chưa hoàn vốn trong 24 tháng</v>
      </c>
      <c r="H58" s="100">
        <f t="shared" ref="H58:H64" si="17">RANK(D58,$D$58:$D$64,1)</f>
        <v>2</v>
      </c>
      <c r="I58" s="2"/>
      <c r="J58" s="2"/>
      <c r="K58" s="2"/>
      <c r="L58" s="2"/>
      <c r="M58" s="2"/>
      <c r="N58" s="2"/>
      <c r="O58" s="2"/>
      <c r="P58" s="2"/>
      <c r="Q58" s="2"/>
      <c r="R58" s="2"/>
      <c r="S58" s="2"/>
      <c r="T58" s="2"/>
      <c r="U58" s="2"/>
      <c r="V58" s="2"/>
      <c r="W58" s="2"/>
      <c r="X58" s="2"/>
      <c r="Y58" s="2"/>
      <c r="Z58" s="2"/>
    </row>
    <row r="59" ht="27.75" customHeight="1">
      <c r="A59" s="2" t="s">
        <v>539</v>
      </c>
      <c r="B59" s="98">
        <f>'3_Giả định'!$C$18</f>
        <v>14699.65984</v>
      </c>
      <c r="C59" s="98">
        <f>C82</f>
        <v>17639.59181</v>
      </c>
      <c r="D59" s="98">
        <f t="array" ref="D59">(B106+NPV($K$82/12,C106:Z106))/1000000</f>
        <v>-5798.851492</v>
      </c>
      <c r="E59" s="98">
        <f t="shared" si="16"/>
        <v>-207.6497144</v>
      </c>
      <c r="F59" s="99">
        <f t="array" ref="F59">IFERROR(MATCH(TRUE(),INDEX(C107:Z107&lt;0,0),0),"Không hết tiền trong 24 tháng")</f>
        <v>5</v>
      </c>
      <c r="G59" s="99" t="str">
        <f t="array" ref="G59">IFERROR(MATCH(TRUE(),INDEX(C108:Z108&gt;=0,0),0),"Chưa hoàn vốn trong 24 tháng")</f>
        <v>Chưa hoàn vốn trong 24 tháng</v>
      </c>
      <c r="H59" s="100">
        <f t="shared" si="17"/>
        <v>5</v>
      </c>
      <c r="I59" s="2"/>
      <c r="J59" s="2"/>
      <c r="K59" s="2"/>
      <c r="L59" s="2"/>
      <c r="M59" s="2"/>
      <c r="N59" s="2"/>
      <c r="O59" s="2"/>
      <c r="P59" s="2"/>
      <c r="Q59" s="2"/>
      <c r="R59" s="2"/>
      <c r="S59" s="2"/>
      <c r="T59" s="2"/>
      <c r="U59" s="2"/>
      <c r="V59" s="2"/>
      <c r="W59" s="2"/>
      <c r="X59" s="2"/>
      <c r="Y59" s="2"/>
      <c r="Z59" s="2"/>
    </row>
    <row r="60" ht="27.75" customHeight="1">
      <c r="A60" s="2" t="s">
        <v>540</v>
      </c>
      <c r="B60" s="101">
        <f>'3_Giả định'!$C$9</f>
        <v>0.15</v>
      </c>
      <c r="C60" s="101">
        <f>F83</f>
        <v>0.18</v>
      </c>
      <c r="D60" s="98">
        <f t="array" ref="D60">(B112+NPV($K$83/12,C112:Z112))/1000000</f>
        <v>-6475.881755</v>
      </c>
      <c r="E60" s="98">
        <f t="shared" si="16"/>
        <v>-884.6799777</v>
      </c>
      <c r="F60" s="99">
        <f t="array" ref="F60">IFERROR(MATCH(TRUE(),INDEX(C113:Z113&lt;0,0),0),"Không hết tiền trong 24 tháng")</f>
        <v>5</v>
      </c>
      <c r="G60" s="99" t="str">
        <f t="array" ref="G60">IFERROR(MATCH(TRUE(),INDEX(C114:Z114&gt;=0,0),0),"Chưa hoàn vốn trong 24 tháng")</f>
        <v>Chưa hoàn vốn trong 24 tháng</v>
      </c>
      <c r="H60" s="100">
        <f t="shared" si="17"/>
        <v>3</v>
      </c>
      <c r="I60" s="2"/>
      <c r="J60" s="2"/>
      <c r="K60" s="2"/>
      <c r="L60" s="2"/>
      <c r="M60" s="2"/>
      <c r="N60" s="2"/>
      <c r="O60" s="2"/>
      <c r="P60" s="2"/>
      <c r="Q60" s="2"/>
      <c r="R60" s="2"/>
      <c r="S60" s="2"/>
      <c r="T60" s="2"/>
      <c r="U60" s="2"/>
      <c r="V60" s="2"/>
      <c r="W60" s="2"/>
      <c r="X60" s="2"/>
      <c r="Y60" s="2"/>
      <c r="Z60" s="2"/>
    </row>
    <row r="61" ht="27.75" customHeight="1">
      <c r="A61" s="2" t="s">
        <v>541</v>
      </c>
      <c r="B61" s="98">
        <f>'3_Giả định'!$C$10</f>
        <v>700000</v>
      </c>
      <c r="C61" s="98">
        <f>G84</f>
        <v>840000</v>
      </c>
      <c r="D61" s="98">
        <f t="array" ref="D61">(B118+NPV($K$84/12,C118:Z118))/1000000</f>
        <v>-7897.409803</v>
      </c>
      <c r="E61" s="98">
        <f t="shared" si="16"/>
        <v>-2306.208025</v>
      </c>
      <c r="F61" s="99">
        <f t="array" ref="F61">IFERROR(MATCH(TRUE(),INDEX(C119:Z119&lt;0,0),0),"Không hết tiền trong 24 tháng")</f>
        <v>4</v>
      </c>
      <c r="G61" s="99" t="str">
        <f t="array" ref="G61">IFERROR(MATCH(TRUE(),INDEX(C120:Z120&gt;=0,0),0),"Chưa hoàn vốn trong 24 tháng")</f>
        <v>Chưa hoàn vốn trong 24 tháng</v>
      </c>
      <c r="H61" s="100">
        <f t="shared" si="17"/>
        <v>1</v>
      </c>
      <c r="I61" s="2"/>
      <c r="J61" s="2"/>
      <c r="K61" s="2"/>
      <c r="L61" s="2"/>
      <c r="M61" s="2"/>
      <c r="N61" s="2"/>
      <c r="O61" s="2"/>
      <c r="P61" s="2"/>
      <c r="Q61" s="2"/>
      <c r="R61" s="2"/>
      <c r="S61" s="2"/>
      <c r="T61" s="2"/>
      <c r="U61" s="2"/>
      <c r="V61" s="2"/>
      <c r="W61" s="2"/>
      <c r="X61" s="2"/>
      <c r="Y61" s="2"/>
      <c r="Z61" s="2"/>
    </row>
    <row r="62" ht="27.75" customHeight="1">
      <c r="A62" s="2" t="s">
        <v>542</v>
      </c>
      <c r="B62" s="102">
        <f>'3_Giả định'!$C$7</f>
        <v>300</v>
      </c>
      <c r="C62" s="102">
        <f>D85</f>
        <v>240</v>
      </c>
      <c r="D62" s="98">
        <f t="array" ref="D62">(B124+NPV($K$85/12,C124:Z124))/1000000</f>
        <v>-5047.94305</v>
      </c>
      <c r="E62" s="98">
        <f t="shared" si="16"/>
        <v>543.2587272</v>
      </c>
      <c r="F62" s="99">
        <f t="array" ref="F62">IFERROR(MATCH(TRUE(),INDEX(C125:Z125&lt;0,0),0),"Không hết tiền trong 24 tháng")</f>
        <v>5</v>
      </c>
      <c r="G62" s="99" t="str">
        <f t="array" ref="G62">IFERROR(MATCH(TRUE(),INDEX(C126:Z126&gt;=0,0),0),"Chưa hoàn vốn trong 24 tháng")</f>
        <v>Chưa hoàn vốn trong 24 tháng</v>
      </c>
      <c r="H62" s="100">
        <f t="shared" si="17"/>
        <v>6</v>
      </c>
      <c r="I62" s="2"/>
      <c r="J62" s="2"/>
      <c r="K62" s="2"/>
      <c r="L62" s="2"/>
      <c r="M62" s="2"/>
      <c r="N62" s="2"/>
      <c r="O62" s="2"/>
      <c r="P62" s="2"/>
      <c r="Q62" s="2"/>
      <c r="R62" s="2"/>
      <c r="S62" s="2"/>
      <c r="T62" s="2"/>
      <c r="U62" s="2"/>
      <c r="V62" s="2"/>
      <c r="W62" s="2"/>
      <c r="X62" s="2"/>
      <c r="Y62" s="2"/>
      <c r="Z62" s="2"/>
    </row>
    <row r="63" ht="27.75" customHeight="1">
      <c r="A63" s="2" t="s">
        <v>543</v>
      </c>
      <c r="B63" s="101">
        <f>'3_Giả định'!$C$8</f>
        <v>0.08</v>
      </c>
      <c r="C63" s="101">
        <f>E86</f>
        <v>0.064</v>
      </c>
      <c r="D63" s="98">
        <f t="array" ref="D63">(B130+NPV($K$86/12,C130:Z130))/1000000</f>
        <v>-4836.515787</v>
      </c>
      <c r="E63" s="98">
        <f t="shared" si="16"/>
        <v>754.6859907</v>
      </c>
      <c r="F63" s="99">
        <f t="array" ref="F63">IFERROR(MATCH(TRUE(),INDEX(C131:Z131&lt;0,0),0),"Không hết tiền trong 24 tháng")</f>
        <v>5</v>
      </c>
      <c r="G63" s="99" t="str">
        <f t="array" ref="G63">IFERROR(MATCH(TRUE(),INDEX(C132:Z132&gt;=0,0),0),"Chưa hoàn vốn trong 24 tháng")</f>
        <v>Chưa hoàn vốn trong 24 tháng</v>
      </c>
      <c r="H63" s="100">
        <f t="shared" si="17"/>
        <v>7</v>
      </c>
      <c r="I63" s="2"/>
      <c r="J63" s="2"/>
      <c r="K63" s="2"/>
      <c r="L63" s="2"/>
      <c r="M63" s="2"/>
      <c r="N63" s="2"/>
      <c r="O63" s="2"/>
      <c r="P63" s="2"/>
      <c r="Q63" s="2"/>
      <c r="R63" s="2"/>
      <c r="S63" s="2"/>
      <c r="T63" s="2"/>
      <c r="U63" s="2"/>
      <c r="V63" s="2"/>
      <c r="W63" s="2"/>
      <c r="X63" s="2"/>
      <c r="Y63" s="2"/>
      <c r="Z63" s="2"/>
    </row>
    <row r="64" ht="27.75" customHeight="1">
      <c r="A64" s="2" t="s">
        <v>544</v>
      </c>
      <c r="B64" s="98">
        <f>'3_Giả định'!$C$11</f>
        <v>120000000</v>
      </c>
      <c r="C64" s="98">
        <f>H87</f>
        <v>144000000</v>
      </c>
      <c r="D64" s="98">
        <f t="array" ref="D64">(B136+NPV($K$87/12,C136:Z136))/1000000</f>
        <v>-6086.183406</v>
      </c>
      <c r="E64" s="98">
        <f t="shared" si="16"/>
        <v>-494.9816283</v>
      </c>
      <c r="F64" s="99">
        <f t="array" ref="F64">IFERROR(MATCH(TRUE(),INDEX(C137:Z137&lt;0,0),0),"Không hết tiền trong 24 tháng")</f>
        <v>4</v>
      </c>
      <c r="G64" s="99" t="str">
        <f t="array" ref="G64">IFERROR(MATCH(TRUE(),INDEX(C138:Z138&gt;=0,0),0),"Chưa hoàn vốn trong 24 tháng")</f>
        <v>Chưa hoàn vốn trong 24 tháng</v>
      </c>
      <c r="H64" s="100">
        <f t="shared" si="17"/>
        <v>4</v>
      </c>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0" customHeight="1">
      <c r="A66" s="8" t="s">
        <v>545</v>
      </c>
      <c r="B66" s="103" t="str">
        <f t="array" ref="B66">IF(MAX(D58:D64)-MIN(D58:D64)&lt;0.5,"Chưa đủ số liệu",INDEX(A58:A64,MATCH(MIN(D58:D64),D58:D64,0)))</f>
        <v>Chi phí có một khách tăng</v>
      </c>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31.5" customHeight="1">
      <c r="A68" s="104" t="s">
        <v>546</v>
      </c>
      <c r="B68" s="97" t="s">
        <v>537</v>
      </c>
      <c r="C68" s="97" t="s">
        <v>537</v>
      </c>
      <c r="D68" s="98">
        <f t="array" ref="D68">(B142+NPV($K$88/12,C142:Z142))/1000000</f>
        <v>-7855.308062</v>
      </c>
      <c r="E68" s="98">
        <f>D68-$D$57</f>
        <v>-2264.106284</v>
      </c>
      <c r="F68" s="99">
        <f t="array" ref="F68">IFERROR(MATCH(TRUE(),INDEX(C143:Z143&lt;0,0),0),"Không hết tiền trong 24 tháng")</f>
        <v>4</v>
      </c>
      <c r="G68" s="99" t="str">
        <f t="array" ref="G68">IFERROR(MATCH(TRUE(),INDEX(C144:Z144&gt;=0,0),0),"Chưa hoàn vốn trong 24 tháng")</f>
        <v>Chưa hoàn vốn trong 24 tháng</v>
      </c>
      <c r="H68" s="2"/>
      <c r="I68" s="2"/>
      <c r="J68" s="2"/>
      <c r="K68" s="2"/>
      <c r="L68" s="2"/>
      <c r="M68" s="2"/>
      <c r="N68" s="2"/>
      <c r="O68" s="2"/>
      <c r="P68" s="2"/>
      <c r="Q68" s="2"/>
      <c r="R68" s="2"/>
      <c r="S68" s="2"/>
      <c r="T68" s="2"/>
      <c r="U68" s="2"/>
      <c r="V68" s="2"/>
      <c r="W68" s="2"/>
      <c r="X68" s="2"/>
      <c r="Y68" s="2"/>
      <c r="Z68" s="2"/>
    </row>
    <row r="69" ht="15.0" customHeight="1">
      <c r="A69" s="40" t="s">
        <v>547</v>
      </c>
      <c r="B69" s="2"/>
      <c r="C69" s="2"/>
      <c r="D69" s="2"/>
      <c r="E69" s="2"/>
      <c r="F69" s="2"/>
      <c r="G69" s="2"/>
      <c r="H69" s="2"/>
      <c r="I69" s="2"/>
      <c r="J69" s="2"/>
      <c r="K69" s="2"/>
      <c r="L69" s="2"/>
      <c r="M69" s="2"/>
      <c r="N69" s="2"/>
      <c r="O69" s="2"/>
      <c r="P69" s="2"/>
      <c r="Q69" s="2"/>
      <c r="R69" s="2"/>
      <c r="S69" s="2"/>
      <c r="T69" s="2"/>
      <c r="U69" s="2"/>
      <c r="V69" s="2"/>
      <c r="W69" s="2"/>
      <c r="X69" s="2"/>
      <c r="Y69" s="2"/>
      <c r="Z69" s="2"/>
    </row>
    <row r="70" ht="15.0" customHeight="1">
      <c r="A70" s="91" t="s">
        <v>548</v>
      </c>
      <c r="B70" s="2"/>
      <c r="C70" s="2"/>
      <c r="D70" s="2"/>
      <c r="E70" s="2"/>
      <c r="F70" s="2"/>
      <c r="G70" s="2"/>
      <c r="H70" s="2"/>
      <c r="I70" s="2"/>
      <c r="J70" s="2"/>
      <c r="K70" s="2"/>
      <c r="L70" s="2"/>
      <c r="M70" s="2"/>
      <c r="N70" s="2"/>
      <c r="O70" s="2"/>
      <c r="P70" s="2"/>
      <c r="Q70" s="2"/>
      <c r="R70" s="2"/>
      <c r="S70" s="2"/>
      <c r="T70" s="2"/>
      <c r="U70" s="2"/>
      <c r="V70" s="2"/>
      <c r="W70" s="2"/>
      <c r="X70" s="2"/>
      <c r="Y70" s="2"/>
      <c r="Z70" s="2"/>
    </row>
    <row r="71" ht="45.0" customHeight="1">
      <c r="A71" s="11" t="s">
        <v>318</v>
      </c>
      <c r="B71" s="11" t="s">
        <v>549</v>
      </c>
      <c r="C71" s="11" t="s">
        <v>550</v>
      </c>
      <c r="D71" s="51" t="s">
        <v>551</v>
      </c>
      <c r="E71" s="105" t="s">
        <v>552</v>
      </c>
      <c r="F71" s="89"/>
      <c r="G71" s="89"/>
      <c r="H71" s="90"/>
      <c r="I71" s="2"/>
      <c r="J71" s="2"/>
      <c r="K71" s="2"/>
      <c r="L71" s="2"/>
      <c r="M71" s="2"/>
      <c r="N71" s="2"/>
      <c r="O71" s="2"/>
      <c r="P71" s="2"/>
      <c r="Q71" s="2"/>
      <c r="R71" s="2"/>
      <c r="S71" s="2"/>
      <c r="T71" s="2"/>
      <c r="U71" s="2"/>
      <c r="V71" s="2"/>
      <c r="W71" s="2"/>
      <c r="X71" s="2"/>
      <c r="Y71" s="2"/>
      <c r="Z71" s="2"/>
    </row>
    <row r="72" ht="15.0" customHeight="1">
      <c r="A72" s="27" t="s">
        <v>553</v>
      </c>
      <c r="B72" s="33">
        <f>'3_Giả định'!C17</f>
        <v>139500</v>
      </c>
      <c r="C72" s="35">
        <f>IFERROR(B72*(1-$B$54*$D$57/($D$57-$D$58)),"")</f>
        <v>218660.9701</v>
      </c>
      <c r="D72" s="41">
        <f>IFERROR(C72/B72-1,"")</f>
        <v>0.5674621516</v>
      </c>
      <c r="E72" s="106" t="s">
        <v>554</v>
      </c>
      <c r="F72" s="55"/>
      <c r="G72" s="55"/>
      <c r="H72" s="56"/>
      <c r="I72" s="2"/>
      <c r="J72" s="2"/>
      <c r="K72" s="2"/>
      <c r="L72" s="2"/>
      <c r="M72" s="2"/>
      <c r="N72" s="2"/>
      <c r="O72" s="2"/>
      <c r="P72" s="2"/>
      <c r="Q72" s="2"/>
      <c r="R72" s="2"/>
      <c r="S72" s="2"/>
      <c r="T72" s="2"/>
      <c r="U72" s="2"/>
      <c r="V72" s="2"/>
      <c r="W72" s="2"/>
      <c r="X72" s="2"/>
      <c r="Y72" s="2"/>
      <c r="Z72" s="2"/>
    </row>
    <row r="73" ht="15.0" customHeight="1">
      <c r="A73" s="27" t="s">
        <v>157</v>
      </c>
      <c r="B73" s="38">
        <f>'4_Chỉ số mỗi khách'!C7</f>
        <v>0.8946260943</v>
      </c>
      <c r="C73" s="67">
        <f>IFERROR(1-('3_Giả định'!C18*(1+$B$54*$D$57/($D$57-$D$59)))/'3_Giả định'!C17,"")</f>
        <v>1.462088246</v>
      </c>
      <c r="D73" s="38">
        <f>IFERROR(C73-B73,"")</f>
        <v>0.5674621516</v>
      </c>
      <c r="E73" s="106" t="s">
        <v>555</v>
      </c>
      <c r="F73" s="55"/>
      <c r="G73" s="55"/>
      <c r="H73" s="56"/>
      <c r="I73" s="2"/>
      <c r="J73" s="2"/>
      <c r="K73" s="2"/>
      <c r="L73" s="2"/>
      <c r="M73" s="2"/>
      <c r="N73" s="2"/>
      <c r="O73" s="2"/>
      <c r="P73" s="2"/>
      <c r="Q73" s="2"/>
      <c r="R73" s="2"/>
      <c r="S73" s="2"/>
      <c r="T73" s="2"/>
      <c r="U73" s="2"/>
      <c r="V73" s="2"/>
      <c r="W73" s="2"/>
      <c r="X73" s="2"/>
      <c r="Y73" s="2"/>
      <c r="Z73" s="2"/>
    </row>
    <row r="74" ht="15.0" customHeight="1">
      <c r="A74" s="27" t="s">
        <v>556</v>
      </c>
      <c r="B74" s="33">
        <f>'3_Giả định'!C10</f>
        <v>700000</v>
      </c>
      <c r="C74" s="35">
        <f>IFERROR(B74*(1+$B$54*$D$57/($D$57-$D$61)),"")</f>
        <v>360582.1156</v>
      </c>
      <c r="D74" s="41">
        <f t="shared" ref="D74:D76" si="18">IFERROR(C74/B74-1,"")</f>
        <v>-0.484882692</v>
      </c>
      <c r="E74" s="107" t="str">
        <f>IFERROR("Trên mức này là 'nguy'. Tương ứng LTV ÷ CAC = "&amp;ROUND('4_Chỉ số mỗi khách'!C9/C74,1)&amp;", không phải 3","")</f>
        <v>Trên mức này là 'nguy'. Tương ứng LTV ÷ CAC = 2.3, không phải 3</v>
      </c>
      <c r="F74" s="55"/>
      <c r="G74" s="55"/>
      <c r="H74" s="56"/>
      <c r="I74" s="2"/>
      <c r="J74" s="2"/>
      <c r="K74" s="2"/>
      <c r="L74" s="2"/>
      <c r="M74" s="2"/>
      <c r="N74" s="2"/>
      <c r="O74" s="2"/>
      <c r="P74" s="2"/>
      <c r="Q74" s="2"/>
      <c r="R74" s="2"/>
      <c r="S74" s="2"/>
      <c r="T74" s="2"/>
      <c r="U74" s="2"/>
      <c r="V74" s="2"/>
      <c r="W74" s="2"/>
      <c r="X74" s="2"/>
      <c r="Y74" s="2"/>
      <c r="Z74" s="2"/>
    </row>
    <row r="75" ht="15.0" customHeight="1">
      <c r="A75" s="27" t="s">
        <v>557</v>
      </c>
      <c r="B75" s="108">
        <f>'3_Giả định'!C7</f>
        <v>300</v>
      </c>
      <c r="C75" s="109">
        <f>IFERROR(B75*(1-$B$54*$D$57/($D$57-$D$62)),"")</f>
        <v>-317.5181177</v>
      </c>
      <c r="D75" s="41">
        <f t="shared" si="18"/>
        <v>-2.058393726</v>
      </c>
      <c r="E75" s="106" t="s">
        <v>558</v>
      </c>
      <c r="F75" s="55"/>
      <c r="G75" s="55"/>
      <c r="H75" s="56"/>
      <c r="I75" s="2"/>
      <c r="J75" s="2"/>
      <c r="K75" s="2"/>
      <c r="L75" s="2"/>
      <c r="M75" s="2"/>
      <c r="N75" s="2"/>
      <c r="O75" s="2"/>
      <c r="P75" s="2"/>
      <c r="Q75" s="2"/>
      <c r="R75" s="2"/>
      <c r="S75" s="2"/>
      <c r="T75" s="2"/>
      <c r="U75" s="2"/>
      <c r="V75" s="2"/>
      <c r="W75" s="2"/>
      <c r="X75" s="2"/>
      <c r="Y75" s="2"/>
      <c r="Z75" s="2"/>
    </row>
    <row r="76" ht="15.0" customHeight="1">
      <c r="A76" s="27" t="s">
        <v>559</v>
      </c>
      <c r="B76" s="33">
        <f>'3_Giả định'!C11</f>
        <v>120000000</v>
      </c>
      <c r="C76" s="35">
        <f>IFERROR(B76*(1+$B$54*$D$57/($D$57-$D$64)),"")</f>
        <v>-151098632.7</v>
      </c>
      <c r="D76" s="41">
        <f t="shared" si="18"/>
        <v>-2.259155273</v>
      </c>
      <c r="E76" s="106" t="s">
        <v>560</v>
      </c>
      <c r="F76" s="55"/>
      <c r="G76" s="55"/>
      <c r="H76" s="56"/>
      <c r="I76" s="2"/>
      <c r="J76" s="2"/>
      <c r="K76" s="2"/>
      <c r="L76" s="2"/>
      <c r="M76" s="2"/>
      <c r="N76" s="2"/>
      <c r="O76" s="2"/>
      <c r="P76" s="2"/>
      <c r="Q76" s="2"/>
      <c r="R76" s="2"/>
      <c r="S76" s="2"/>
      <c r="T76" s="2"/>
      <c r="U76" s="2"/>
      <c r="V76" s="2"/>
      <c r="W76" s="2"/>
      <c r="X76" s="2"/>
      <c r="Y76" s="2"/>
      <c r="Z76" s="2"/>
    </row>
    <row r="77" ht="15.0" customHeight="1">
      <c r="A77" s="27" t="s">
        <v>561</v>
      </c>
      <c r="B77" s="38">
        <f>'2_Định giá'!B27</f>
        <v>0</v>
      </c>
      <c r="C77" s="67">
        <f>IFERROR(1-C72/('2_Định giá'!D17*'3_Giả định'!C5),"")</f>
        <v>-0.5674621516</v>
      </c>
      <c r="D77" s="38">
        <f>IFERROR(C77-B77,"")</f>
        <v>-0.5674621516</v>
      </c>
      <c r="E77" s="106" t="s">
        <v>562</v>
      </c>
      <c r="F77" s="55"/>
      <c r="G77" s="55"/>
      <c r="H77" s="56"/>
      <c r="I77" s="2"/>
      <c r="J77" s="2"/>
      <c r="K77" s="2"/>
      <c r="L77" s="2"/>
      <c r="M77" s="2"/>
      <c r="N77" s="2"/>
      <c r="O77" s="2"/>
      <c r="P77" s="2"/>
      <c r="Q77" s="2"/>
      <c r="R77" s="2"/>
      <c r="S77" s="2"/>
      <c r="T77" s="2"/>
      <c r="U77" s="2"/>
      <c r="V77" s="2"/>
      <c r="W77" s="2"/>
      <c r="X77" s="2"/>
      <c r="Y77" s="2"/>
      <c r="Z77" s="2"/>
    </row>
    <row r="78" ht="15.0" customHeight="1">
      <c r="A78" s="110" t="s">
        <v>563</v>
      </c>
      <c r="B78" s="2"/>
      <c r="C78" s="2"/>
      <c r="D78" s="2"/>
      <c r="E78" s="2"/>
      <c r="F78" s="2"/>
      <c r="G78" s="2"/>
      <c r="H78" s="2"/>
      <c r="I78" s="2"/>
      <c r="J78" s="2"/>
      <c r="K78" s="2"/>
      <c r="L78" s="2"/>
      <c r="M78" s="2"/>
      <c r="N78" s="2"/>
      <c r="O78" s="2"/>
      <c r="P78" s="2"/>
      <c r="Q78" s="2"/>
      <c r="R78" s="2"/>
      <c r="S78" s="2"/>
      <c r="T78" s="2"/>
      <c r="U78" s="2"/>
      <c r="V78" s="2"/>
      <c r="W78" s="2"/>
      <c r="X78" s="2"/>
      <c r="Y78" s="2"/>
      <c r="Z78" s="2"/>
    </row>
    <row r="79" ht="15.0" hidden="1" customHeight="1" outlineLevel="1">
      <c r="A79" s="110" t="s">
        <v>564</v>
      </c>
      <c r="B79" s="110" t="s">
        <v>565</v>
      </c>
      <c r="C79" s="110" t="s">
        <v>566</v>
      </c>
      <c r="D79" s="110" t="s">
        <v>567</v>
      </c>
      <c r="E79" s="110" t="s">
        <v>568</v>
      </c>
      <c r="F79" s="110" t="s">
        <v>569</v>
      </c>
      <c r="G79" s="110" t="s">
        <v>570</v>
      </c>
      <c r="H79" s="110" t="s">
        <v>411</v>
      </c>
      <c r="I79" s="110" t="s">
        <v>571</v>
      </c>
      <c r="J79" s="110" t="s">
        <v>572</v>
      </c>
      <c r="K79" s="110" t="s">
        <v>573</v>
      </c>
      <c r="L79" s="2"/>
      <c r="M79" s="2"/>
      <c r="N79" s="2"/>
      <c r="O79" s="2"/>
      <c r="P79" s="2"/>
      <c r="Q79" s="2"/>
      <c r="R79" s="2"/>
      <c r="S79" s="2"/>
      <c r="T79" s="2"/>
      <c r="U79" s="2"/>
      <c r="V79" s="2"/>
      <c r="W79" s="2"/>
      <c r="X79" s="2"/>
      <c r="Y79" s="2"/>
      <c r="Z79" s="2"/>
    </row>
    <row r="80" ht="15.0" hidden="1" customHeight="1" outlineLevel="1">
      <c r="A80" s="110" t="s">
        <v>574</v>
      </c>
      <c r="B80" s="111">
        <f>'3_Giả định'!$C$17</f>
        <v>139500</v>
      </c>
      <c r="C80" s="111">
        <f>'3_Giả định'!$C$18</f>
        <v>14699.65984</v>
      </c>
      <c r="D80" s="112">
        <f>'3_Giả định'!$C$7</f>
        <v>300</v>
      </c>
      <c r="E80" s="113">
        <f>'3_Giả định'!$C$8</f>
        <v>0.08</v>
      </c>
      <c r="F80" s="113">
        <f>'3_Giả định'!$C$9</f>
        <v>0.15</v>
      </c>
      <c r="G80" s="111">
        <f>'3_Giả định'!$C$10</f>
        <v>700000</v>
      </c>
      <c r="H80" s="111">
        <f>'3_Giả định'!$C$11</f>
        <v>120000000</v>
      </c>
      <c r="I80" s="111">
        <f>'3_Giả định'!$C$12</f>
        <v>400000000</v>
      </c>
      <c r="J80" s="111">
        <f>'3_Giả định'!$C$13</f>
        <v>1500000000</v>
      </c>
      <c r="K80" s="113">
        <f>'3_Giả định'!$C$14</f>
        <v>0.15</v>
      </c>
      <c r="L80" s="2"/>
      <c r="M80" s="2"/>
      <c r="N80" s="2"/>
      <c r="O80" s="2"/>
      <c r="P80" s="2"/>
      <c r="Q80" s="2"/>
      <c r="R80" s="2"/>
      <c r="S80" s="2"/>
      <c r="T80" s="2"/>
      <c r="U80" s="2"/>
      <c r="V80" s="2"/>
      <c r="W80" s="2"/>
      <c r="X80" s="2"/>
      <c r="Y80" s="2"/>
      <c r="Z80" s="2"/>
    </row>
    <row r="81" ht="15.0" hidden="1" customHeight="1" outlineLevel="1">
      <c r="A81" s="110" t="s">
        <v>575</v>
      </c>
      <c r="B81" s="111">
        <f>'3_Giả định'!$C$17*(1-$B$54)</f>
        <v>111600</v>
      </c>
      <c r="C81" s="111">
        <f>'3_Giả định'!$C$18</f>
        <v>14699.65984</v>
      </c>
      <c r="D81" s="112">
        <f>'3_Giả định'!$C$7</f>
        <v>300</v>
      </c>
      <c r="E81" s="113">
        <f>'3_Giả định'!$C$8</f>
        <v>0.08</v>
      </c>
      <c r="F81" s="113">
        <f>'3_Giả định'!$C$9</f>
        <v>0.15</v>
      </c>
      <c r="G81" s="111">
        <f>'3_Giả định'!$C$10</f>
        <v>700000</v>
      </c>
      <c r="H81" s="111">
        <f>'3_Giả định'!$C$11</f>
        <v>120000000</v>
      </c>
      <c r="I81" s="111">
        <f>'3_Giả định'!$C$12</f>
        <v>400000000</v>
      </c>
      <c r="J81" s="111">
        <f>'3_Giả định'!$C$13</f>
        <v>1500000000</v>
      </c>
      <c r="K81" s="113">
        <f>'3_Giả định'!$C$14</f>
        <v>0.15</v>
      </c>
      <c r="L81" s="2"/>
      <c r="M81" s="2"/>
      <c r="N81" s="2"/>
      <c r="O81" s="2"/>
      <c r="P81" s="2"/>
      <c r="Q81" s="2"/>
      <c r="R81" s="2"/>
      <c r="S81" s="2"/>
      <c r="T81" s="2"/>
      <c r="U81" s="2"/>
      <c r="V81" s="2"/>
      <c r="W81" s="2"/>
      <c r="X81" s="2"/>
      <c r="Y81" s="2"/>
      <c r="Z81" s="2"/>
    </row>
    <row r="82" ht="15.0" hidden="1" customHeight="1" outlineLevel="1">
      <c r="A82" s="110" t="s">
        <v>576</v>
      </c>
      <c r="B82" s="111">
        <f>'3_Giả định'!$C$17</f>
        <v>139500</v>
      </c>
      <c r="C82" s="111">
        <f>'3_Giả định'!$C$18*(1+$B$54)</f>
        <v>17639.59181</v>
      </c>
      <c r="D82" s="112">
        <f>'3_Giả định'!$C$7</f>
        <v>300</v>
      </c>
      <c r="E82" s="113">
        <f>'3_Giả định'!$C$8</f>
        <v>0.08</v>
      </c>
      <c r="F82" s="113">
        <f>'3_Giả định'!$C$9</f>
        <v>0.15</v>
      </c>
      <c r="G82" s="111">
        <f>'3_Giả định'!$C$10</f>
        <v>700000</v>
      </c>
      <c r="H82" s="111">
        <f>'3_Giả định'!$C$11</f>
        <v>120000000</v>
      </c>
      <c r="I82" s="111">
        <f>'3_Giả định'!$C$12</f>
        <v>400000000</v>
      </c>
      <c r="J82" s="111">
        <f>'3_Giả định'!$C$13</f>
        <v>1500000000</v>
      </c>
      <c r="K82" s="113">
        <f>'3_Giả định'!$C$14</f>
        <v>0.15</v>
      </c>
      <c r="L82" s="2"/>
      <c r="M82" s="2"/>
      <c r="N82" s="2"/>
      <c r="O82" s="2"/>
      <c r="P82" s="2"/>
      <c r="Q82" s="2"/>
      <c r="R82" s="2"/>
      <c r="S82" s="2"/>
      <c r="T82" s="2"/>
      <c r="U82" s="2"/>
      <c r="V82" s="2"/>
      <c r="W82" s="2"/>
      <c r="X82" s="2"/>
      <c r="Y82" s="2"/>
      <c r="Z82" s="2"/>
    </row>
    <row r="83" ht="15.0" hidden="1" customHeight="1" outlineLevel="1">
      <c r="A83" s="110" t="s">
        <v>577</v>
      </c>
      <c r="B83" s="111">
        <f>'3_Giả định'!$C$17</f>
        <v>139500</v>
      </c>
      <c r="C83" s="111">
        <f>'3_Giả định'!$C$18</f>
        <v>14699.65984</v>
      </c>
      <c r="D83" s="112">
        <f>'3_Giả định'!$C$7</f>
        <v>300</v>
      </c>
      <c r="E83" s="113">
        <f>'3_Giả định'!$C$8</f>
        <v>0.08</v>
      </c>
      <c r="F83" s="113">
        <f>'3_Giả định'!$C$9*(1+$B$54)</f>
        <v>0.18</v>
      </c>
      <c r="G83" s="111">
        <f>'3_Giả định'!$C$10</f>
        <v>700000</v>
      </c>
      <c r="H83" s="111">
        <f>'3_Giả định'!$C$11</f>
        <v>120000000</v>
      </c>
      <c r="I83" s="111">
        <f>'3_Giả định'!$C$12</f>
        <v>400000000</v>
      </c>
      <c r="J83" s="111">
        <f>'3_Giả định'!$C$13</f>
        <v>1500000000</v>
      </c>
      <c r="K83" s="113">
        <f>'3_Giả định'!$C$14</f>
        <v>0.15</v>
      </c>
      <c r="L83" s="2"/>
      <c r="M83" s="2"/>
      <c r="N83" s="2"/>
      <c r="O83" s="2"/>
      <c r="P83" s="2"/>
      <c r="Q83" s="2"/>
      <c r="R83" s="2"/>
      <c r="S83" s="2"/>
      <c r="T83" s="2"/>
      <c r="U83" s="2"/>
      <c r="V83" s="2"/>
      <c r="W83" s="2"/>
      <c r="X83" s="2"/>
      <c r="Y83" s="2"/>
      <c r="Z83" s="2"/>
    </row>
    <row r="84" ht="15.0" hidden="1" customHeight="1" outlineLevel="1">
      <c r="A84" s="110" t="s">
        <v>578</v>
      </c>
      <c r="B84" s="111">
        <f>'3_Giả định'!$C$17</f>
        <v>139500</v>
      </c>
      <c r="C84" s="111">
        <f>'3_Giả định'!$C$18</f>
        <v>14699.65984</v>
      </c>
      <c r="D84" s="112">
        <f>'3_Giả định'!$C$7</f>
        <v>300</v>
      </c>
      <c r="E84" s="113">
        <f>'3_Giả định'!$C$8</f>
        <v>0.08</v>
      </c>
      <c r="F84" s="113">
        <f>'3_Giả định'!$C$9</f>
        <v>0.15</v>
      </c>
      <c r="G84" s="111">
        <f>'3_Giả định'!$C$10*(1+$B$54)</f>
        <v>840000</v>
      </c>
      <c r="H84" s="111">
        <f>'3_Giả định'!$C$11</f>
        <v>120000000</v>
      </c>
      <c r="I84" s="111">
        <f>'3_Giả định'!$C$12</f>
        <v>400000000</v>
      </c>
      <c r="J84" s="111">
        <f>'3_Giả định'!$C$13</f>
        <v>1500000000</v>
      </c>
      <c r="K84" s="113">
        <f>'3_Giả định'!$C$14</f>
        <v>0.15</v>
      </c>
      <c r="L84" s="2"/>
      <c r="M84" s="2"/>
      <c r="N84" s="2"/>
      <c r="O84" s="2"/>
      <c r="P84" s="2"/>
      <c r="Q84" s="2"/>
      <c r="R84" s="2"/>
      <c r="S84" s="2"/>
      <c r="T84" s="2"/>
      <c r="U84" s="2"/>
      <c r="V84" s="2"/>
      <c r="W84" s="2"/>
      <c r="X84" s="2"/>
      <c r="Y84" s="2"/>
      <c r="Z84" s="2"/>
    </row>
    <row r="85" ht="15.0" hidden="1" customHeight="1" outlineLevel="1">
      <c r="A85" s="110" t="s">
        <v>579</v>
      </c>
      <c r="B85" s="111">
        <f>'3_Giả định'!$C$17</f>
        <v>139500</v>
      </c>
      <c r="C85" s="111">
        <f>'3_Giả định'!$C$18</f>
        <v>14699.65984</v>
      </c>
      <c r="D85" s="112">
        <f>'3_Giả định'!$C$7*(1-$B$54)</f>
        <v>240</v>
      </c>
      <c r="E85" s="113">
        <f>'3_Giả định'!$C$8</f>
        <v>0.08</v>
      </c>
      <c r="F85" s="113">
        <f>'3_Giả định'!$C$9</f>
        <v>0.15</v>
      </c>
      <c r="G85" s="111">
        <f>'3_Giả định'!$C$10</f>
        <v>700000</v>
      </c>
      <c r="H85" s="111">
        <f>'3_Giả định'!$C$11</f>
        <v>120000000</v>
      </c>
      <c r="I85" s="111">
        <f>'3_Giả định'!$C$12</f>
        <v>400000000</v>
      </c>
      <c r="J85" s="111">
        <f>'3_Giả định'!$C$13</f>
        <v>1500000000</v>
      </c>
      <c r="K85" s="113">
        <f>'3_Giả định'!$C$14</f>
        <v>0.15</v>
      </c>
      <c r="L85" s="2"/>
      <c r="M85" s="2"/>
      <c r="N85" s="2"/>
      <c r="O85" s="2"/>
      <c r="P85" s="2"/>
      <c r="Q85" s="2"/>
      <c r="R85" s="2"/>
      <c r="S85" s="2"/>
      <c r="T85" s="2"/>
      <c r="U85" s="2"/>
      <c r="V85" s="2"/>
      <c r="W85" s="2"/>
      <c r="X85" s="2"/>
      <c r="Y85" s="2"/>
      <c r="Z85" s="2"/>
    </row>
    <row r="86" ht="15.0" hidden="1" customHeight="1" outlineLevel="1">
      <c r="A86" s="110" t="s">
        <v>580</v>
      </c>
      <c r="B86" s="111">
        <f>'3_Giả định'!$C$17</f>
        <v>139500</v>
      </c>
      <c r="C86" s="111">
        <f>'3_Giả định'!$C$18</f>
        <v>14699.65984</v>
      </c>
      <c r="D86" s="112">
        <f>'3_Giả định'!$C$7</f>
        <v>300</v>
      </c>
      <c r="E86" s="113">
        <f>'3_Giả định'!$C$8*(1-$B$54)</f>
        <v>0.064</v>
      </c>
      <c r="F86" s="113">
        <f>'3_Giả định'!$C$9</f>
        <v>0.15</v>
      </c>
      <c r="G86" s="111">
        <f>'3_Giả định'!$C$10</f>
        <v>700000</v>
      </c>
      <c r="H86" s="111">
        <f>'3_Giả định'!$C$11</f>
        <v>120000000</v>
      </c>
      <c r="I86" s="111">
        <f>'3_Giả định'!$C$12</f>
        <v>400000000</v>
      </c>
      <c r="J86" s="111">
        <f>'3_Giả định'!$C$13</f>
        <v>1500000000</v>
      </c>
      <c r="K86" s="113">
        <f>'3_Giả định'!$C$14</f>
        <v>0.15</v>
      </c>
      <c r="L86" s="2"/>
      <c r="M86" s="2"/>
      <c r="N86" s="2"/>
      <c r="O86" s="2"/>
      <c r="P86" s="2"/>
      <c r="Q86" s="2"/>
      <c r="R86" s="2"/>
      <c r="S86" s="2"/>
      <c r="T86" s="2"/>
      <c r="U86" s="2"/>
      <c r="V86" s="2"/>
      <c r="W86" s="2"/>
      <c r="X86" s="2"/>
      <c r="Y86" s="2"/>
      <c r="Z86" s="2"/>
    </row>
    <row r="87" ht="15.0" hidden="1" customHeight="1" outlineLevel="1">
      <c r="A87" s="110" t="s">
        <v>581</v>
      </c>
      <c r="B87" s="111">
        <f>'3_Giả định'!$C$17</f>
        <v>139500</v>
      </c>
      <c r="C87" s="111">
        <f>'3_Giả định'!$C$18</f>
        <v>14699.65984</v>
      </c>
      <c r="D87" s="112">
        <f>'3_Giả định'!$C$7</f>
        <v>300</v>
      </c>
      <c r="E87" s="113">
        <f>'3_Giả định'!$C$8</f>
        <v>0.08</v>
      </c>
      <c r="F87" s="113">
        <f>'3_Giả định'!$C$9</f>
        <v>0.15</v>
      </c>
      <c r="G87" s="111">
        <f>'3_Giả định'!$C$10</f>
        <v>700000</v>
      </c>
      <c r="H87" s="111">
        <f>'3_Giả định'!$C$11*(1+$B$54)</f>
        <v>144000000</v>
      </c>
      <c r="I87" s="111">
        <f>'3_Giả định'!$C$12</f>
        <v>400000000</v>
      </c>
      <c r="J87" s="111">
        <f>'3_Giả định'!$C$13</f>
        <v>1500000000</v>
      </c>
      <c r="K87" s="113">
        <f>'3_Giả định'!$C$14</f>
        <v>0.15</v>
      </c>
      <c r="L87" s="2"/>
      <c r="M87" s="2"/>
      <c r="N87" s="2"/>
      <c r="O87" s="2"/>
      <c r="P87" s="2"/>
      <c r="Q87" s="2"/>
      <c r="R87" s="2"/>
      <c r="S87" s="2"/>
      <c r="T87" s="2"/>
      <c r="U87" s="2"/>
      <c r="V87" s="2"/>
      <c r="W87" s="2"/>
      <c r="X87" s="2"/>
      <c r="Y87" s="2"/>
      <c r="Z87" s="2"/>
    </row>
    <row r="88" ht="15.0" hidden="1" customHeight="1" outlineLevel="1">
      <c r="A88" s="110" t="s">
        <v>582</v>
      </c>
      <c r="B88" s="111">
        <f>'2_Định giá'!$D$15*'3_Giả định'!$C$5*(1-'2_Định giá'!$B$27)</f>
        <v>99000</v>
      </c>
      <c r="C88" s="111">
        <f>'2_Định giá'!$E$15*'3_Giả định'!$C$6</f>
        <v>6255.1744</v>
      </c>
      <c r="D88" s="112">
        <f>'3_Giả định'!$C$7</f>
        <v>300</v>
      </c>
      <c r="E88" s="113">
        <f>'3_Giả định'!$C$8</f>
        <v>0.08</v>
      </c>
      <c r="F88" s="113">
        <f>'3_Giả định'!$C$9</f>
        <v>0.15</v>
      </c>
      <c r="G88" s="111">
        <f>'3_Giả định'!$C$10</f>
        <v>700000</v>
      </c>
      <c r="H88" s="111">
        <f>'3_Giả định'!$C$11</f>
        <v>120000000</v>
      </c>
      <c r="I88" s="111">
        <f>'3_Giả định'!$C$12</f>
        <v>400000000</v>
      </c>
      <c r="J88" s="111">
        <f>'3_Giả định'!$C$13</f>
        <v>1500000000</v>
      </c>
      <c r="K88" s="113">
        <f>'3_Giả định'!$C$14</f>
        <v>0.15</v>
      </c>
      <c r="L88" s="2"/>
      <c r="M88" s="2"/>
      <c r="N88" s="2"/>
      <c r="O88" s="2"/>
      <c r="P88" s="2"/>
      <c r="Q88" s="2"/>
      <c r="R88" s="2"/>
      <c r="S88" s="2"/>
      <c r="T88" s="2"/>
      <c r="U88" s="2"/>
      <c r="V88" s="2"/>
      <c r="W88" s="2"/>
      <c r="X88" s="2"/>
      <c r="Y88" s="2"/>
      <c r="Z88" s="2"/>
    </row>
    <row r="89" ht="15.0" hidden="1" customHeight="1" outlineLevel="1">
      <c r="A89" s="2"/>
      <c r="B89" s="2"/>
      <c r="C89" s="2"/>
      <c r="D89" s="2"/>
      <c r="E89" s="2"/>
      <c r="F89" s="2"/>
      <c r="G89" s="2"/>
      <c r="H89" s="2"/>
      <c r="I89" s="2"/>
      <c r="J89" s="2"/>
      <c r="K89" s="2"/>
      <c r="L89" s="2"/>
      <c r="M89" s="2"/>
      <c r="N89" s="2"/>
      <c r="O89" s="2"/>
      <c r="P89" s="2"/>
      <c r="Q89" s="2"/>
      <c r="R89" s="2"/>
      <c r="S89" s="2"/>
      <c r="T89" s="2"/>
      <c r="U89" s="2"/>
      <c r="V89" s="2"/>
      <c r="W89" s="2"/>
      <c r="X89" s="2"/>
      <c r="Y89" s="2"/>
      <c r="Z89" s="2"/>
    </row>
    <row r="90" ht="15.0" hidden="1" customHeight="1" outlineLevel="1">
      <c r="A90" s="2"/>
      <c r="B90" s="2"/>
      <c r="C90" s="2"/>
      <c r="D90" s="2"/>
      <c r="E90" s="2"/>
      <c r="F90" s="2"/>
      <c r="G90" s="2"/>
      <c r="H90" s="2"/>
      <c r="I90" s="2"/>
      <c r="J90" s="2"/>
      <c r="K90" s="2"/>
      <c r="L90" s="2"/>
      <c r="M90" s="2"/>
      <c r="N90" s="2"/>
      <c r="O90" s="2"/>
      <c r="P90" s="2"/>
      <c r="Q90" s="2"/>
      <c r="R90" s="2"/>
      <c r="S90" s="2"/>
      <c r="T90" s="2"/>
      <c r="U90" s="2"/>
      <c r="V90" s="2"/>
      <c r="W90" s="2"/>
      <c r="X90" s="2"/>
      <c r="Y90" s="2"/>
      <c r="Z90" s="2"/>
    </row>
    <row r="91" ht="15.0" hidden="1" customHeight="1" outlineLevel="1">
      <c r="A91" s="2"/>
      <c r="B91" s="2"/>
      <c r="C91" s="2"/>
      <c r="D91" s="2"/>
      <c r="E91" s="2"/>
      <c r="F91" s="2"/>
      <c r="G91" s="2"/>
      <c r="H91" s="2"/>
      <c r="I91" s="2"/>
      <c r="J91" s="2"/>
      <c r="K91" s="2"/>
      <c r="L91" s="2"/>
      <c r="M91" s="2"/>
      <c r="N91" s="2"/>
      <c r="O91" s="2"/>
      <c r="P91" s="2"/>
      <c r="Q91" s="2"/>
      <c r="R91" s="2"/>
      <c r="S91" s="2"/>
      <c r="T91" s="2"/>
      <c r="U91" s="2"/>
      <c r="V91" s="2"/>
      <c r="W91" s="2"/>
      <c r="X91" s="2"/>
      <c r="Y91" s="2"/>
      <c r="Z91" s="2"/>
    </row>
    <row r="92" ht="15.0" hidden="1" customHeight="1" outlineLevel="1">
      <c r="A92" s="110" t="s">
        <v>583</v>
      </c>
      <c r="B92" s="2"/>
      <c r="C92" s="112">
        <f>$D$80*(1+$E$80)^0</f>
        <v>300</v>
      </c>
      <c r="D92" s="112">
        <f>$D$80*(1+$E$80)^1</f>
        <v>324</v>
      </c>
      <c r="E92" s="112">
        <f>$D$80*(1+$E$80)^2</f>
        <v>349.92</v>
      </c>
      <c r="F92" s="112">
        <f>$D$80*(1+$E$80)^3</f>
        <v>377.9136</v>
      </c>
      <c r="G92" s="112">
        <f>$D$80*(1+$E$80)^4</f>
        <v>408.146688</v>
      </c>
      <c r="H92" s="112">
        <f>$D$80*(1+$E$80)^5</f>
        <v>440.798423</v>
      </c>
      <c r="I92" s="112">
        <f>$D$80*(1+$E$80)^6</f>
        <v>476.0622969</v>
      </c>
      <c r="J92" s="112">
        <f>$D$80*(1+$E$80)^7</f>
        <v>514.1472806</v>
      </c>
      <c r="K92" s="112">
        <f>$D$80*(1+$E$80)^8</f>
        <v>555.2790631</v>
      </c>
      <c r="L92" s="112">
        <f>$D$80*(1+$E$80)^9</f>
        <v>599.7013881</v>
      </c>
      <c r="M92" s="112">
        <f>$D$80*(1+$E$80)^10</f>
        <v>647.6774992</v>
      </c>
      <c r="N92" s="112">
        <f>$D$80*(1+$E$80)^11</f>
        <v>699.4916991</v>
      </c>
      <c r="O92" s="112">
        <f>$D$80*(1+$E$80)^12</f>
        <v>755.451035</v>
      </c>
      <c r="P92" s="112">
        <f>$D$80*(1+$E$80)^13</f>
        <v>815.8871178</v>
      </c>
      <c r="Q92" s="112">
        <f>$D$80*(1+$E$80)^14</f>
        <v>881.1580873</v>
      </c>
      <c r="R92" s="112">
        <f>$D$80*(1+$E$80)^15</f>
        <v>951.6507343</v>
      </c>
      <c r="S92" s="112">
        <f>$D$80*(1+$E$80)^16</f>
        <v>1027.782793</v>
      </c>
      <c r="T92" s="112">
        <f>$D$80*(1+$E$80)^17</f>
        <v>1110.005416</v>
      </c>
      <c r="U92" s="112">
        <f>$D$80*(1+$E$80)^18</f>
        <v>1198.80585</v>
      </c>
      <c r="V92" s="112">
        <f>$D$80*(1+$E$80)^19</f>
        <v>1294.710318</v>
      </c>
      <c r="W92" s="112">
        <f>$D$80*(1+$E$80)^20</f>
        <v>1398.287143</v>
      </c>
      <c r="X92" s="112">
        <f>$D$80*(1+$E$80)^21</f>
        <v>1510.150115</v>
      </c>
      <c r="Y92" s="112">
        <f>$D$80*(1+$E$80)^22</f>
        <v>1630.962124</v>
      </c>
      <c r="Z92" s="112">
        <f>$D$80*(1+$E$80)^23</f>
        <v>1761.439094</v>
      </c>
    </row>
    <row r="93" ht="15.0" hidden="1" customHeight="1" outlineLevel="1">
      <c r="A93" s="110" t="s">
        <v>584</v>
      </c>
      <c r="B93" s="110">
        <v>0.0</v>
      </c>
      <c r="C93" s="112">
        <f t="shared" ref="C93:Z93" si="19">B93*(1-$F$80)+C92</f>
        <v>300</v>
      </c>
      <c r="D93" s="112">
        <f t="shared" si="19"/>
        <v>579</v>
      </c>
      <c r="E93" s="112">
        <f t="shared" si="19"/>
        <v>842.07</v>
      </c>
      <c r="F93" s="112">
        <f t="shared" si="19"/>
        <v>1093.6731</v>
      </c>
      <c r="G93" s="112">
        <f t="shared" si="19"/>
        <v>1337.768823</v>
      </c>
      <c r="H93" s="112">
        <f t="shared" si="19"/>
        <v>1577.901923</v>
      </c>
      <c r="I93" s="112">
        <f t="shared" si="19"/>
        <v>1817.278931</v>
      </c>
      <c r="J93" s="112">
        <f t="shared" si="19"/>
        <v>2058.834372</v>
      </c>
      <c r="K93" s="112">
        <f t="shared" si="19"/>
        <v>2305.288279</v>
      </c>
      <c r="L93" s="112">
        <f t="shared" si="19"/>
        <v>2559.196426</v>
      </c>
      <c r="M93" s="112">
        <f t="shared" si="19"/>
        <v>2822.994461</v>
      </c>
      <c r="N93" s="112">
        <f t="shared" si="19"/>
        <v>3099.036991</v>
      </c>
      <c r="O93" s="112">
        <f t="shared" si="19"/>
        <v>3389.632477</v>
      </c>
      <c r="P93" s="112">
        <f t="shared" si="19"/>
        <v>3697.074724</v>
      </c>
      <c r="Q93" s="112">
        <f t="shared" si="19"/>
        <v>4023.671602</v>
      </c>
      <c r="R93" s="112">
        <f t="shared" si="19"/>
        <v>4371.771596</v>
      </c>
      <c r="S93" s="112">
        <f t="shared" si="19"/>
        <v>4743.78865</v>
      </c>
      <c r="T93" s="112">
        <f t="shared" si="19"/>
        <v>5142.225769</v>
      </c>
      <c r="U93" s="112">
        <f t="shared" si="19"/>
        <v>5569.697753</v>
      </c>
      <c r="V93" s="112">
        <f t="shared" si="19"/>
        <v>6028.953408</v>
      </c>
      <c r="W93" s="112">
        <f t="shared" si="19"/>
        <v>6522.89754</v>
      </c>
      <c r="X93" s="112">
        <f t="shared" si="19"/>
        <v>7054.613024</v>
      </c>
      <c r="Y93" s="112">
        <f t="shared" si="19"/>
        <v>7627.383194</v>
      </c>
      <c r="Z93" s="112">
        <f t="shared" si="19"/>
        <v>8244.714808</v>
      </c>
    </row>
    <row r="94" ht="15.0" hidden="1" customHeight="1" outlineLevel="1">
      <c r="A94" s="110" t="s">
        <v>585</v>
      </c>
      <c r="B94" s="111">
        <f>-$I$80</f>
        <v>-400000000</v>
      </c>
      <c r="C94" s="111">
        <f t="shared" ref="C94:Z94" si="20">C93*($B$80-$C$80)-C92*$G$80-$H$80</f>
        <v>-292559898</v>
      </c>
      <c r="D94" s="111">
        <f t="shared" si="20"/>
        <v>-274540603</v>
      </c>
      <c r="E94" s="111">
        <f t="shared" si="20"/>
        <v>-259853377.6</v>
      </c>
      <c r="F94" s="111">
        <f t="shared" si="20"/>
        <v>-248048745.1</v>
      </c>
      <c r="G94" s="111">
        <f t="shared" si="20"/>
        <v>-238748677.4</v>
      </c>
      <c r="H94" s="111">
        <f t="shared" si="20"/>
        <v>-231636199.4</v>
      </c>
      <c r="I94" s="111">
        <f t="shared" si="20"/>
        <v>-226446579.1</v>
      </c>
      <c r="J94" s="111">
        <f t="shared" si="20"/>
        <v>-222959866.5</v>
      </c>
      <c r="K94" s="111">
        <f t="shared" si="20"/>
        <v>-220994582.7</v>
      </c>
      <c r="L94" s="111">
        <f t="shared" si="20"/>
        <v>-220402387.2</v>
      </c>
      <c r="M94" s="111">
        <f t="shared" si="20"/>
        <v>-221063580.4</v>
      </c>
      <c r="N94" s="111">
        <f t="shared" si="20"/>
        <v>-222883318.7</v>
      </c>
      <c r="O94" s="111">
        <f t="shared" si="20"/>
        <v>-225788438.3</v>
      </c>
      <c r="P94" s="111">
        <f t="shared" si="20"/>
        <v>-229724799.4</v>
      </c>
      <c r="Q94" s="111">
        <f t="shared" si="20"/>
        <v>-234655076.4</v>
      </c>
      <c r="R94" s="111">
        <f t="shared" si="20"/>
        <v>-240556931.7</v>
      </c>
      <c r="S94" s="111">
        <f t="shared" si="20"/>
        <v>-247421518</v>
      </c>
      <c r="T94" s="111">
        <f t="shared" si="20"/>
        <v>-255252266.4</v>
      </c>
      <c r="U94" s="111">
        <f t="shared" si="20"/>
        <v>-264063920.6</v>
      </c>
      <c r="V94" s="111">
        <f t="shared" si="20"/>
        <v>-273881786.3</v>
      </c>
      <c r="W94" s="111">
        <f t="shared" si="20"/>
        <v>-284741168.4</v>
      </c>
      <c r="X94" s="111">
        <f t="shared" si="20"/>
        <v>-296686975.2</v>
      </c>
      <c r="Y94" s="111">
        <f t="shared" si="20"/>
        <v>-309773469.5</v>
      </c>
      <c r="Z94" s="111">
        <f t="shared" si="20"/>
        <v>-324064153</v>
      </c>
    </row>
    <row r="95" ht="15.0" hidden="1" customHeight="1" outlineLevel="1">
      <c r="A95" s="110" t="s">
        <v>586</v>
      </c>
      <c r="B95" s="111">
        <f>$J$80+B94</f>
        <v>1100000000</v>
      </c>
      <c r="C95" s="111">
        <f t="shared" ref="C95:Z95" si="21">B95+C94</f>
        <v>807440102</v>
      </c>
      <c r="D95" s="111">
        <f t="shared" si="21"/>
        <v>532899499</v>
      </c>
      <c r="E95" s="111">
        <f t="shared" si="21"/>
        <v>273046121.4</v>
      </c>
      <c r="F95" s="111">
        <f t="shared" si="21"/>
        <v>24997376.34</v>
      </c>
      <c r="G95" s="111">
        <f t="shared" si="21"/>
        <v>-213751301.1</v>
      </c>
      <c r="H95" s="111">
        <f t="shared" si="21"/>
        <v>-445387500.5</v>
      </c>
      <c r="I95" s="111">
        <f t="shared" si="21"/>
        <v>-671834079.6</v>
      </c>
      <c r="J95" s="111">
        <f t="shared" si="21"/>
        <v>-894793946.1</v>
      </c>
      <c r="K95" s="111">
        <f t="shared" si="21"/>
        <v>-1115788529</v>
      </c>
      <c r="L95" s="111">
        <f t="shared" si="21"/>
        <v>-1336190916</v>
      </c>
      <c r="M95" s="111">
        <f t="shared" si="21"/>
        <v>-1557254496</v>
      </c>
      <c r="N95" s="111">
        <f t="shared" si="21"/>
        <v>-1780137815</v>
      </c>
      <c r="O95" s="111">
        <f t="shared" si="21"/>
        <v>-2005926254</v>
      </c>
      <c r="P95" s="111">
        <f t="shared" si="21"/>
        <v>-2235651053</v>
      </c>
      <c r="Q95" s="111">
        <f t="shared" si="21"/>
        <v>-2470306129</v>
      </c>
      <c r="R95" s="111">
        <f t="shared" si="21"/>
        <v>-2710863061</v>
      </c>
      <c r="S95" s="111">
        <f t="shared" si="21"/>
        <v>-2958284579</v>
      </c>
      <c r="T95" s="111">
        <f t="shared" si="21"/>
        <v>-3213536845</v>
      </c>
      <c r="U95" s="111">
        <f t="shared" si="21"/>
        <v>-3477600766</v>
      </c>
      <c r="V95" s="111">
        <f t="shared" si="21"/>
        <v>-3751482552</v>
      </c>
      <c r="W95" s="111">
        <f t="shared" si="21"/>
        <v>-4036223721</v>
      </c>
      <c r="X95" s="111">
        <f t="shared" si="21"/>
        <v>-4332910696</v>
      </c>
      <c r="Y95" s="111">
        <f t="shared" si="21"/>
        <v>-4642684165</v>
      </c>
      <c r="Z95" s="111">
        <f t="shared" si="21"/>
        <v>-4966748318</v>
      </c>
    </row>
    <row r="96" ht="15.0" hidden="1" customHeight="1" outlineLevel="1">
      <c r="A96" s="110" t="s">
        <v>587</v>
      </c>
      <c r="B96" s="111">
        <f>B94</f>
        <v>-400000000</v>
      </c>
      <c r="C96" s="111">
        <f t="shared" ref="C96:Z96" si="22">B96+C94</f>
        <v>-692559898</v>
      </c>
      <c r="D96" s="111">
        <f t="shared" si="22"/>
        <v>-967100501</v>
      </c>
      <c r="E96" s="111">
        <f t="shared" si="22"/>
        <v>-1226953879</v>
      </c>
      <c r="F96" s="111">
        <f t="shared" si="22"/>
        <v>-1475002624</v>
      </c>
      <c r="G96" s="111">
        <f t="shared" si="22"/>
        <v>-1713751301</v>
      </c>
      <c r="H96" s="111">
        <f t="shared" si="22"/>
        <v>-1945387501</v>
      </c>
      <c r="I96" s="111">
        <f t="shared" si="22"/>
        <v>-2171834080</v>
      </c>
      <c r="J96" s="111">
        <f t="shared" si="22"/>
        <v>-2394793946</v>
      </c>
      <c r="K96" s="111">
        <f t="shared" si="22"/>
        <v>-2615788529</v>
      </c>
      <c r="L96" s="111">
        <f t="shared" si="22"/>
        <v>-2836190916</v>
      </c>
      <c r="M96" s="111">
        <f t="shared" si="22"/>
        <v>-3057254496</v>
      </c>
      <c r="N96" s="111">
        <f t="shared" si="22"/>
        <v>-3280137815</v>
      </c>
      <c r="O96" s="111">
        <f t="shared" si="22"/>
        <v>-3505926254</v>
      </c>
      <c r="P96" s="111">
        <f t="shared" si="22"/>
        <v>-3735651053</v>
      </c>
      <c r="Q96" s="111">
        <f t="shared" si="22"/>
        <v>-3970306129</v>
      </c>
      <c r="R96" s="111">
        <f t="shared" si="22"/>
        <v>-4210863061</v>
      </c>
      <c r="S96" s="111">
        <f t="shared" si="22"/>
        <v>-4458284579</v>
      </c>
      <c r="T96" s="111">
        <f t="shared" si="22"/>
        <v>-4713536845</v>
      </c>
      <c r="U96" s="111">
        <f t="shared" si="22"/>
        <v>-4977600766</v>
      </c>
      <c r="V96" s="111">
        <f t="shared" si="22"/>
        <v>-5251482552</v>
      </c>
      <c r="W96" s="111">
        <f t="shared" si="22"/>
        <v>-5536223721</v>
      </c>
      <c r="X96" s="111">
        <f t="shared" si="22"/>
        <v>-5832910696</v>
      </c>
      <c r="Y96" s="111">
        <f t="shared" si="22"/>
        <v>-6142684165</v>
      </c>
      <c r="Z96" s="111">
        <f t="shared" si="22"/>
        <v>-6466748318</v>
      </c>
    </row>
    <row r="97" ht="15.0" hidden="1" customHeight="1" outlineLevel="1">
      <c r="A97" s="2"/>
      <c r="B97" s="2"/>
      <c r="C97" s="2"/>
      <c r="D97" s="2"/>
      <c r="E97" s="2"/>
      <c r="F97" s="2"/>
      <c r="G97" s="2"/>
      <c r="H97" s="2"/>
      <c r="I97" s="2"/>
      <c r="J97" s="2"/>
      <c r="K97" s="2"/>
      <c r="L97" s="2"/>
      <c r="M97" s="2"/>
      <c r="N97" s="2"/>
      <c r="O97" s="2"/>
      <c r="P97" s="2"/>
      <c r="Q97" s="2"/>
      <c r="R97" s="2"/>
      <c r="S97" s="2"/>
      <c r="T97" s="2"/>
      <c r="U97" s="2"/>
      <c r="V97" s="2"/>
      <c r="W97" s="2"/>
      <c r="X97" s="2"/>
      <c r="Y97" s="2"/>
      <c r="Z97" s="2"/>
    </row>
    <row r="98" ht="15.0" hidden="1" customHeight="1" outlineLevel="1">
      <c r="A98" s="110" t="s">
        <v>588</v>
      </c>
      <c r="B98" s="2"/>
      <c r="C98" s="112">
        <f>$D$81*(1+$E$81)^0</f>
        <v>300</v>
      </c>
      <c r="D98" s="112">
        <f>$D$81*(1+$E$81)^1</f>
        <v>324</v>
      </c>
      <c r="E98" s="112">
        <f>$D$81*(1+$E$81)^2</f>
        <v>349.92</v>
      </c>
      <c r="F98" s="112">
        <f>$D$81*(1+$E$81)^3</f>
        <v>377.9136</v>
      </c>
      <c r="G98" s="112">
        <f>$D$81*(1+$E$81)^4</f>
        <v>408.146688</v>
      </c>
      <c r="H98" s="112">
        <f>$D$81*(1+$E$81)^5</f>
        <v>440.798423</v>
      </c>
      <c r="I98" s="112">
        <f>$D$81*(1+$E$81)^6</f>
        <v>476.0622969</v>
      </c>
      <c r="J98" s="112">
        <f>$D$81*(1+$E$81)^7</f>
        <v>514.1472806</v>
      </c>
      <c r="K98" s="112">
        <f>$D$81*(1+$E$81)^8</f>
        <v>555.2790631</v>
      </c>
      <c r="L98" s="112">
        <f>$D$81*(1+$E$81)^9</f>
        <v>599.7013881</v>
      </c>
      <c r="M98" s="112">
        <f>$D$81*(1+$E$81)^10</f>
        <v>647.6774992</v>
      </c>
      <c r="N98" s="112">
        <f>$D$81*(1+$E$81)^11</f>
        <v>699.4916991</v>
      </c>
      <c r="O98" s="112">
        <f>$D$81*(1+$E$81)^12</f>
        <v>755.451035</v>
      </c>
      <c r="P98" s="112">
        <f>$D$81*(1+$E$81)^13</f>
        <v>815.8871178</v>
      </c>
      <c r="Q98" s="112">
        <f>$D$81*(1+$E$81)^14</f>
        <v>881.1580873</v>
      </c>
      <c r="R98" s="112">
        <f>$D$81*(1+$E$81)^15</f>
        <v>951.6507343</v>
      </c>
      <c r="S98" s="112">
        <f>$D$81*(1+$E$81)^16</f>
        <v>1027.782793</v>
      </c>
      <c r="T98" s="112">
        <f>$D$81*(1+$E$81)^17</f>
        <v>1110.005416</v>
      </c>
      <c r="U98" s="112">
        <f>$D$81*(1+$E$81)^18</f>
        <v>1198.80585</v>
      </c>
      <c r="V98" s="112">
        <f>$D$81*(1+$E$81)^19</f>
        <v>1294.710318</v>
      </c>
      <c r="W98" s="112">
        <f>$D$81*(1+$E$81)^20</f>
        <v>1398.287143</v>
      </c>
      <c r="X98" s="112">
        <f>$D$81*(1+$E$81)^21</f>
        <v>1510.150115</v>
      </c>
      <c r="Y98" s="112">
        <f>$D$81*(1+$E$81)^22</f>
        <v>1630.962124</v>
      </c>
      <c r="Z98" s="112">
        <f>$D$81*(1+$E$81)^23</f>
        <v>1761.439094</v>
      </c>
    </row>
    <row r="99" ht="15.0" hidden="1" customHeight="1" outlineLevel="1">
      <c r="A99" s="110" t="s">
        <v>589</v>
      </c>
      <c r="B99" s="110">
        <v>0.0</v>
      </c>
      <c r="C99" s="112">
        <f t="shared" ref="C99:Z99" si="23">B99*(1-$F$81)+C98</f>
        <v>300</v>
      </c>
      <c r="D99" s="112">
        <f t="shared" si="23"/>
        <v>579</v>
      </c>
      <c r="E99" s="112">
        <f t="shared" si="23"/>
        <v>842.07</v>
      </c>
      <c r="F99" s="112">
        <f t="shared" si="23"/>
        <v>1093.6731</v>
      </c>
      <c r="G99" s="112">
        <f t="shared" si="23"/>
        <v>1337.768823</v>
      </c>
      <c r="H99" s="112">
        <f t="shared" si="23"/>
        <v>1577.901923</v>
      </c>
      <c r="I99" s="112">
        <f t="shared" si="23"/>
        <v>1817.278931</v>
      </c>
      <c r="J99" s="112">
        <f t="shared" si="23"/>
        <v>2058.834372</v>
      </c>
      <c r="K99" s="112">
        <f t="shared" si="23"/>
        <v>2305.288279</v>
      </c>
      <c r="L99" s="112">
        <f t="shared" si="23"/>
        <v>2559.196426</v>
      </c>
      <c r="M99" s="112">
        <f t="shared" si="23"/>
        <v>2822.994461</v>
      </c>
      <c r="N99" s="112">
        <f t="shared" si="23"/>
        <v>3099.036991</v>
      </c>
      <c r="O99" s="112">
        <f t="shared" si="23"/>
        <v>3389.632477</v>
      </c>
      <c r="P99" s="112">
        <f t="shared" si="23"/>
        <v>3697.074724</v>
      </c>
      <c r="Q99" s="112">
        <f t="shared" si="23"/>
        <v>4023.671602</v>
      </c>
      <c r="R99" s="112">
        <f t="shared" si="23"/>
        <v>4371.771596</v>
      </c>
      <c r="S99" s="112">
        <f t="shared" si="23"/>
        <v>4743.78865</v>
      </c>
      <c r="T99" s="112">
        <f t="shared" si="23"/>
        <v>5142.225769</v>
      </c>
      <c r="U99" s="112">
        <f t="shared" si="23"/>
        <v>5569.697753</v>
      </c>
      <c r="V99" s="112">
        <f t="shared" si="23"/>
        <v>6028.953408</v>
      </c>
      <c r="W99" s="112">
        <f t="shared" si="23"/>
        <v>6522.89754</v>
      </c>
      <c r="X99" s="112">
        <f t="shared" si="23"/>
        <v>7054.613024</v>
      </c>
      <c r="Y99" s="112">
        <f t="shared" si="23"/>
        <v>7627.383194</v>
      </c>
      <c r="Z99" s="112">
        <f t="shared" si="23"/>
        <v>8244.714808</v>
      </c>
    </row>
    <row r="100" ht="15.0" hidden="1" customHeight="1" outlineLevel="1">
      <c r="A100" s="110" t="s">
        <v>590</v>
      </c>
      <c r="B100" s="111">
        <f>-$I$81</f>
        <v>-400000000</v>
      </c>
      <c r="C100" s="111">
        <f t="shared" ref="C100:Z100" si="24">C99*($B$81-$C$81)-C98*$G$81-$H$81</f>
        <v>-300929898</v>
      </c>
      <c r="D100" s="111">
        <f t="shared" si="24"/>
        <v>-290694703</v>
      </c>
      <c r="E100" s="111">
        <f t="shared" si="24"/>
        <v>-283347130.6</v>
      </c>
      <c r="F100" s="111">
        <f t="shared" si="24"/>
        <v>-278562224.6</v>
      </c>
      <c r="G100" s="111">
        <f t="shared" si="24"/>
        <v>-276072427.6</v>
      </c>
      <c r="H100" s="111">
        <f t="shared" si="24"/>
        <v>-275659663.1</v>
      </c>
      <c r="I100" s="111">
        <f t="shared" si="24"/>
        <v>-277148661.2</v>
      </c>
      <c r="J100" s="111">
        <f t="shared" si="24"/>
        <v>-280401345.5</v>
      </c>
      <c r="K100" s="111">
        <f t="shared" si="24"/>
        <v>-285312125.7</v>
      </c>
      <c r="L100" s="111">
        <f t="shared" si="24"/>
        <v>-291803967.5</v>
      </c>
      <c r="M100" s="111">
        <f t="shared" si="24"/>
        <v>-299825125.9</v>
      </c>
      <c r="N100" s="111">
        <f t="shared" si="24"/>
        <v>-309346450.8</v>
      </c>
      <c r="O100" s="111">
        <f t="shared" si="24"/>
        <v>-320359184.5</v>
      </c>
      <c r="P100" s="111">
        <f t="shared" si="24"/>
        <v>-332873184.2</v>
      </c>
      <c r="Q100" s="111">
        <f t="shared" si="24"/>
        <v>-346915514.1</v>
      </c>
      <c r="R100" s="111">
        <f t="shared" si="24"/>
        <v>-362529359.2</v>
      </c>
      <c r="S100" s="111">
        <f t="shared" si="24"/>
        <v>-379773221.3</v>
      </c>
      <c r="T100" s="111">
        <f t="shared" si="24"/>
        <v>-398720365.3</v>
      </c>
      <c r="U100" s="111">
        <f t="shared" si="24"/>
        <v>-419458488</v>
      </c>
      <c r="V100" s="111">
        <f t="shared" si="24"/>
        <v>-442089586.4</v>
      </c>
      <c r="W100" s="111">
        <f t="shared" si="24"/>
        <v>-466730009.8</v>
      </c>
      <c r="X100" s="111">
        <f t="shared" si="24"/>
        <v>-493510678.5</v>
      </c>
      <c r="Y100" s="111">
        <f t="shared" si="24"/>
        <v>-522577460.6</v>
      </c>
      <c r="Z100" s="111">
        <f t="shared" si="24"/>
        <v>-554091696.1</v>
      </c>
    </row>
    <row r="101" ht="15.0" hidden="1" customHeight="1" outlineLevel="1">
      <c r="A101" s="110" t="s">
        <v>591</v>
      </c>
      <c r="B101" s="111">
        <f>$J$81+B100</f>
        <v>1100000000</v>
      </c>
      <c r="C101" s="111">
        <f t="shared" ref="C101:Z101" si="25">B101+C100</f>
        <v>799070102</v>
      </c>
      <c r="D101" s="111">
        <f t="shared" si="25"/>
        <v>508375399</v>
      </c>
      <c r="E101" s="111">
        <f t="shared" si="25"/>
        <v>225028268.4</v>
      </c>
      <c r="F101" s="111">
        <f t="shared" si="25"/>
        <v>-53533956.15</v>
      </c>
      <c r="G101" s="111">
        <f t="shared" si="25"/>
        <v>-329606383.7</v>
      </c>
      <c r="H101" s="111">
        <f t="shared" si="25"/>
        <v>-605266046.8</v>
      </c>
      <c r="I101" s="111">
        <f t="shared" si="25"/>
        <v>-882414708.1</v>
      </c>
      <c r="J101" s="111">
        <f t="shared" si="25"/>
        <v>-1162816054</v>
      </c>
      <c r="K101" s="111">
        <f t="shared" si="25"/>
        <v>-1448128179</v>
      </c>
      <c r="L101" s="111">
        <f t="shared" si="25"/>
        <v>-1739932147</v>
      </c>
      <c r="M101" s="111">
        <f t="shared" si="25"/>
        <v>-2039757273</v>
      </c>
      <c r="N101" s="111">
        <f t="shared" si="25"/>
        <v>-2349103723</v>
      </c>
      <c r="O101" s="111">
        <f t="shared" si="25"/>
        <v>-2669462908</v>
      </c>
      <c r="P101" s="111">
        <f t="shared" si="25"/>
        <v>-3002336092</v>
      </c>
      <c r="Q101" s="111">
        <f t="shared" si="25"/>
        <v>-3349251606</v>
      </c>
      <c r="R101" s="111">
        <f t="shared" si="25"/>
        <v>-3711780965</v>
      </c>
      <c r="S101" s="111">
        <f t="shared" si="25"/>
        <v>-4091554187</v>
      </c>
      <c r="T101" s="111">
        <f t="shared" si="25"/>
        <v>-4490274552</v>
      </c>
      <c r="U101" s="111">
        <f t="shared" si="25"/>
        <v>-4909733040</v>
      </c>
      <c r="V101" s="111">
        <f t="shared" si="25"/>
        <v>-5351822626</v>
      </c>
      <c r="W101" s="111">
        <f t="shared" si="25"/>
        <v>-5818552636</v>
      </c>
      <c r="X101" s="111">
        <f t="shared" si="25"/>
        <v>-6312063315</v>
      </c>
      <c r="Y101" s="111">
        <f t="shared" si="25"/>
        <v>-6834640775</v>
      </c>
      <c r="Z101" s="111">
        <f t="shared" si="25"/>
        <v>-7388732471</v>
      </c>
    </row>
    <row r="102" ht="15.0" hidden="1" customHeight="1" outlineLevel="1">
      <c r="A102" s="110" t="s">
        <v>592</v>
      </c>
      <c r="B102" s="111">
        <f>B100</f>
        <v>-400000000</v>
      </c>
      <c r="C102" s="111">
        <f t="shared" ref="C102:Z102" si="26">B102+C100</f>
        <v>-700929898</v>
      </c>
      <c r="D102" s="111">
        <f t="shared" si="26"/>
        <v>-991624601</v>
      </c>
      <c r="E102" s="111">
        <f t="shared" si="26"/>
        <v>-1274971732</v>
      </c>
      <c r="F102" s="111">
        <f t="shared" si="26"/>
        <v>-1553533956</v>
      </c>
      <c r="G102" s="111">
        <f t="shared" si="26"/>
        <v>-1829606384</v>
      </c>
      <c r="H102" s="111">
        <f t="shared" si="26"/>
        <v>-2105266047</v>
      </c>
      <c r="I102" s="111">
        <f t="shared" si="26"/>
        <v>-2382414708</v>
      </c>
      <c r="J102" s="111">
        <f t="shared" si="26"/>
        <v>-2662816054</v>
      </c>
      <c r="K102" s="111">
        <f t="shared" si="26"/>
        <v>-2948128179</v>
      </c>
      <c r="L102" s="111">
        <f t="shared" si="26"/>
        <v>-3239932147</v>
      </c>
      <c r="M102" s="111">
        <f t="shared" si="26"/>
        <v>-3539757273</v>
      </c>
      <c r="N102" s="111">
        <f t="shared" si="26"/>
        <v>-3849103723</v>
      </c>
      <c r="O102" s="111">
        <f t="shared" si="26"/>
        <v>-4169462908</v>
      </c>
      <c r="P102" s="111">
        <f t="shared" si="26"/>
        <v>-4502336092</v>
      </c>
      <c r="Q102" s="111">
        <f t="shared" si="26"/>
        <v>-4849251606</v>
      </c>
      <c r="R102" s="111">
        <f t="shared" si="26"/>
        <v>-5211780965</v>
      </c>
      <c r="S102" s="111">
        <f t="shared" si="26"/>
        <v>-5591554187</v>
      </c>
      <c r="T102" s="111">
        <f t="shared" si="26"/>
        <v>-5990274552</v>
      </c>
      <c r="U102" s="111">
        <f t="shared" si="26"/>
        <v>-6409733040</v>
      </c>
      <c r="V102" s="111">
        <f t="shared" si="26"/>
        <v>-6851822626</v>
      </c>
      <c r="W102" s="111">
        <f t="shared" si="26"/>
        <v>-7318552636</v>
      </c>
      <c r="X102" s="111">
        <f t="shared" si="26"/>
        <v>-7812063315</v>
      </c>
      <c r="Y102" s="111">
        <f t="shared" si="26"/>
        <v>-8334640775</v>
      </c>
      <c r="Z102" s="111">
        <f t="shared" si="26"/>
        <v>-8888732471</v>
      </c>
    </row>
    <row r="103" ht="15.0" hidden="1" customHeight="1" outlineLevel="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0" hidden="1" customHeight="1" outlineLevel="1">
      <c r="A104" s="110" t="s">
        <v>593</v>
      </c>
      <c r="B104" s="2"/>
      <c r="C104" s="112">
        <f>$D$82*(1+$E$82)^0</f>
        <v>300</v>
      </c>
      <c r="D104" s="112">
        <f>$D$82*(1+$E$82)^1</f>
        <v>324</v>
      </c>
      <c r="E104" s="112">
        <f>$D$82*(1+$E$82)^2</f>
        <v>349.92</v>
      </c>
      <c r="F104" s="112">
        <f>$D$82*(1+$E$82)^3</f>
        <v>377.9136</v>
      </c>
      <c r="G104" s="112">
        <f>$D$82*(1+$E$82)^4</f>
        <v>408.146688</v>
      </c>
      <c r="H104" s="112">
        <f>$D$82*(1+$E$82)^5</f>
        <v>440.798423</v>
      </c>
      <c r="I104" s="112">
        <f>$D$82*(1+$E$82)^6</f>
        <v>476.0622969</v>
      </c>
      <c r="J104" s="112">
        <f>$D$82*(1+$E$82)^7</f>
        <v>514.1472806</v>
      </c>
      <c r="K104" s="112">
        <f>$D$82*(1+$E$82)^8</f>
        <v>555.2790631</v>
      </c>
      <c r="L104" s="112">
        <f>$D$82*(1+$E$82)^9</f>
        <v>599.7013881</v>
      </c>
      <c r="M104" s="112">
        <f>$D$82*(1+$E$82)^10</f>
        <v>647.6774992</v>
      </c>
      <c r="N104" s="112">
        <f>$D$82*(1+$E$82)^11</f>
        <v>699.4916991</v>
      </c>
      <c r="O104" s="112">
        <f>$D$82*(1+$E$82)^12</f>
        <v>755.451035</v>
      </c>
      <c r="P104" s="112">
        <f>$D$82*(1+$E$82)^13</f>
        <v>815.8871178</v>
      </c>
      <c r="Q104" s="112">
        <f>$D$82*(1+$E$82)^14</f>
        <v>881.1580873</v>
      </c>
      <c r="R104" s="112">
        <f>$D$82*(1+$E$82)^15</f>
        <v>951.6507343</v>
      </c>
      <c r="S104" s="112">
        <f>$D$82*(1+$E$82)^16</f>
        <v>1027.782793</v>
      </c>
      <c r="T104" s="112">
        <f>$D$82*(1+$E$82)^17</f>
        <v>1110.005416</v>
      </c>
      <c r="U104" s="112">
        <f>$D$82*(1+$E$82)^18</f>
        <v>1198.80585</v>
      </c>
      <c r="V104" s="112">
        <f>$D$82*(1+$E$82)^19</f>
        <v>1294.710318</v>
      </c>
      <c r="W104" s="112">
        <f>$D$82*(1+$E$82)^20</f>
        <v>1398.287143</v>
      </c>
      <c r="X104" s="112">
        <f>$D$82*(1+$E$82)^21</f>
        <v>1510.150115</v>
      </c>
      <c r="Y104" s="112">
        <f>$D$82*(1+$E$82)^22</f>
        <v>1630.962124</v>
      </c>
      <c r="Z104" s="112">
        <f>$D$82*(1+$E$82)^23</f>
        <v>1761.439094</v>
      </c>
    </row>
    <row r="105" ht="15.0" hidden="1" customHeight="1" outlineLevel="1">
      <c r="A105" s="110" t="s">
        <v>594</v>
      </c>
      <c r="B105" s="110">
        <v>0.0</v>
      </c>
      <c r="C105" s="112">
        <f t="shared" ref="C105:Z105" si="27">B105*(1-$F$82)+C104</f>
        <v>300</v>
      </c>
      <c r="D105" s="112">
        <f t="shared" si="27"/>
        <v>579</v>
      </c>
      <c r="E105" s="112">
        <f t="shared" si="27"/>
        <v>842.07</v>
      </c>
      <c r="F105" s="112">
        <f t="shared" si="27"/>
        <v>1093.6731</v>
      </c>
      <c r="G105" s="112">
        <f t="shared" si="27"/>
        <v>1337.768823</v>
      </c>
      <c r="H105" s="112">
        <f t="shared" si="27"/>
        <v>1577.901923</v>
      </c>
      <c r="I105" s="112">
        <f t="shared" si="27"/>
        <v>1817.278931</v>
      </c>
      <c r="J105" s="112">
        <f t="shared" si="27"/>
        <v>2058.834372</v>
      </c>
      <c r="K105" s="112">
        <f t="shared" si="27"/>
        <v>2305.288279</v>
      </c>
      <c r="L105" s="112">
        <f t="shared" si="27"/>
        <v>2559.196426</v>
      </c>
      <c r="M105" s="112">
        <f t="shared" si="27"/>
        <v>2822.994461</v>
      </c>
      <c r="N105" s="112">
        <f t="shared" si="27"/>
        <v>3099.036991</v>
      </c>
      <c r="O105" s="112">
        <f t="shared" si="27"/>
        <v>3389.632477</v>
      </c>
      <c r="P105" s="112">
        <f t="shared" si="27"/>
        <v>3697.074724</v>
      </c>
      <c r="Q105" s="112">
        <f t="shared" si="27"/>
        <v>4023.671602</v>
      </c>
      <c r="R105" s="112">
        <f t="shared" si="27"/>
        <v>4371.771596</v>
      </c>
      <c r="S105" s="112">
        <f t="shared" si="27"/>
        <v>4743.78865</v>
      </c>
      <c r="T105" s="112">
        <f t="shared" si="27"/>
        <v>5142.225769</v>
      </c>
      <c r="U105" s="112">
        <f t="shared" si="27"/>
        <v>5569.697753</v>
      </c>
      <c r="V105" s="112">
        <f t="shared" si="27"/>
        <v>6028.953408</v>
      </c>
      <c r="W105" s="112">
        <f t="shared" si="27"/>
        <v>6522.89754</v>
      </c>
      <c r="X105" s="112">
        <f t="shared" si="27"/>
        <v>7054.613024</v>
      </c>
      <c r="Y105" s="112">
        <f t="shared" si="27"/>
        <v>7627.383194</v>
      </c>
      <c r="Z105" s="112">
        <f t="shared" si="27"/>
        <v>8244.714808</v>
      </c>
    </row>
    <row r="106" ht="15.0" hidden="1" customHeight="1" outlineLevel="1">
      <c r="A106" s="110" t="s">
        <v>595</v>
      </c>
      <c r="B106" s="111">
        <f>-$I$82</f>
        <v>-400000000</v>
      </c>
      <c r="C106" s="111">
        <f t="shared" ref="C106:Z106" si="28">C105*($B$82-$C$82)-C104*$G$82-$H$82</f>
        <v>-293441877.5</v>
      </c>
      <c r="D106" s="111">
        <f t="shared" si="28"/>
        <v>-276242823.7</v>
      </c>
      <c r="E106" s="111">
        <f t="shared" si="28"/>
        <v>-262329006.1</v>
      </c>
      <c r="F106" s="111">
        <f t="shared" si="28"/>
        <v>-251264069.6</v>
      </c>
      <c r="G106" s="111">
        <f t="shared" si="28"/>
        <v>-242681626.8</v>
      </c>
      <c r="H106" s="111">
        <f t="shared" si="28"/>
        <v>-236275123.8</v>
      </c>
      <c r="I106" s="111">
        <f t="shared" si="28"/>
        <v>-231789255.5</v>
      </c>
      <c r="J106" s="111">
        <f t="shared" si="28"/>
        <v>-229012699.5</v>
      </c>
      <c r="K106" s="111">
        <f t="shared" si="28"/>
        <v>-227771973.4</v>
      </c>
      <c r="L106" s="111">
        <f t="shared" si="28"/>
        <v>-227926250.6</v>
      </c>
      <c r="M106" s="111">
        <f t="shared" si="28"/>
        <v>-229362992.1</v>
      </c>
      <c r="N106" s="111">
        <f t="shared" si="28"/>
        <v>-231994276.7</v>
      </c>
      <c r="O106" s="111">
        <f t="shared" si="28"/>
        <v>-235753727.2</v>
      </c>
      <c r="P106" s="111">
        <f t="shared" si="28"/>
        <v>-240593947.6</v>
      </c>
      <c r="Q106" s="111">
        <f t="shared" si="28"/>
        <v>-246484397.2</v>
      </c>
      <c r="R106" s="111">
        <f t="shared" si="28"/>
        <v>-253409642.7</v>
      </c>
      <c r="S106" s="111">
        <f t="shared" si="28"/>
        <v>-261367933.9</v>
      </c>
      <c r="T106" s="111">
        <f t="shared" si="28"/>
        <v>-270370060.3</v>
      </c>
      <c r="U106" s="111">
        <f t="shared" si="28"/>
        <v>-280438453.1</v>
      </c>
      <c r="V106" s="111">
        <f t="shared" si="28"/>
        <v>-291606499.2</v>
      </c>
      <c r="W106" s="111">
        <f t="shared" si="28"/>
        <v>-303918043.4</v>
      </c>
      <c r="X106" s="111">
        <f t="shared" si="28"/>
        <v>-317427057.5</v>
      </c>
      <c r="Y106" s="111">
        <f t="shared" si="28"/>
        <v>-332197457.2</v>
      </c>
      <c r="Z106" s="111">
        <f t="shared" si="28"/>
        <v>-348303053.6</v>
      </c>
    </row>
    <row r="107" ht="15.0" hidden="1" customHeight="1" outlineLevel="1">
      <c r="A107" s="110" t="s">
        <v>596</v>
      </c>
      <c r="B107" s="111">
        <f>$J$82+B106</f>
        <v>1100000000</v>
      </c>
      <c r="C107" s="111">
        <f t="shared" ref="C107:Z107" si="29">B107+C106</f>
        <v>806558122.5</v>
      </c>
      <c r="D107" s="111">
        <f t="shared" si="29"/>
        <v>530315298.8</v>
      </c>
      <c r="E107" s="111">
        <f t="shared" si="29"/>
        <v>267986292.7</v>
      </c>
      <c r="F107" s="111">
        <f t="shared" si="29"/>
        <v>16722223.12</v>
      </c>
      <c r="G107" s="111">
        <f t="shared" si="29"/>
        <v>-225959403.6</v>
      </c>
      <c r="H107" s="111">
        <f t="shared" si="29"/>
        <v>-462234527.4</v>
      </c>
      <c r="I107" s="111">
        <f t="shared" si="29"/>
        <v>-694023782.9</v>
      </c>
      <c r="J107" s="111">
        <f t="shared" si="29"/>
        <v>-923036482.3</v>
      </c>
      <c r="K107" s="111">
        <f t="shared" si="29"/>
        <v>-1150808456</v>
      </c>
      <c r="L107" s="111">
        <f t="shared" si="29"/>
        <v>-1378734706</v>
      </c>
      <c r="M107" s="111">
        <f t="shared" si="29"/>
        <v>-1608097699</v>
      </c>
      <c r="N107" s="111">
        <f t="shared" si="29"/>
        <v>-1840091975</v>
      </c>
      <c r="O107" s="111">
        <f t="shared" si="29"/>
        <v>-2075845702</v>
      </c>
      <c r="P107" s="111">
        <f t="shared" si="29"/>
        <v>-2316439650</v>
      </c>
      <c r="Q107" s="111">
        <f t="shared" si="29"/>
        <v>-2562924047</v>
      </c>
      <c r="R107" s="111">
        <f t="shared" si="29"/>
        <v>-2816333690</v>
      </c>
      <c r="S107" s="111">
        <f t="shared" si="29"/>
        <v>-3077701624</v>
      </c>
      <c r="T107" s="111">
        <f t="shared" si="29"/>
        <v>-3348071684</v>
      </c>
      <c r="U107" s="111">
        <f t="shared" si="29"/>
        <v>-3628510137</v>
      </c>
      <c r="V107" s="111">
        <f t="shared" si="29"/>
        <v>-3920116636</v>
      </c>
      <c r="W107" s="111">
        <f t="shared" si="29"/>
        <v>-4224034680</v>
      </c>
      <c r="X107" s="111">
        <f t="shared" si="29"/>
        <v>-4541461737</v>
      </c>
      <c r="Y107" s="111">
        <f t="shared" si="29"/>
        <v>-4873659195</v>
      </c>
      <c r="Z107" s="111">
        <f t="shared" si="29"/>
        <v>-5221962248</v>
      </c>
    </row>
    <row r="108" ht="15.0" hidden="1" customHeight="1" outlineLevel="1">
      <c r="A108" s="110" t="s">
        <v>597</v>
      </c>
      <c r="B108" s="111">
        <f>B106</f>
        <v>-400000000</v>
      </c>
      <c r="C108" s="111">
        <f t="shared" ref="C108:Z108" si="30">B108+C106</f>
        <v>-693441877.5</v>
      </c>
      <c r="D108" s="111">
        <f t="shared" si="30"/>
        <v>-969684701.2</v>
      </c>
      <c r="E108" s="111">
        <f t="shared" si="30"/>
        <v>-1232013707</v>
      </c>
      <c r="F108" s="111">
        <f t="shared" si="30"/>
        <v>-1483277777</v>
      </c>
      <c r="G108" s="111">
        <f t="shared" si="30"/>
        <v>-1725959404</v>
      </c>
      <c r="H108" s="111">
        <f t="shared" si="30"/>
        <v>-1962234527</v>
      </c>
      <c r="I108" s="111">
        <f t="shared" si="30"/>
        <v>-2194023783</v>
      </c>
      <c r="J108" s="111">
        <f t="shared" si="30"/>
        <v>-2423036482</v>
      </c>
      <c r="K108" s="111">
        <f t="shared" si="30"/>
        <v>-2650808456</v>
      </c>
      <c r="L108" s="111">
        <f t="shared" si="30"/>
        <v>-2878734706</v>
      </c>
      <c r="M108" s="111">
        <f t="shared" si="30"/>
        <v>-3108097699</v>
      </c>
      <c r="N108" s="111">
        <f t="shared" si="30"/>
        <v>-3340091975</v>
      </c>
      <c r="O108" s="111">
        <f t="shared" si="30"/>
        <v>-3575845702</v>
      </c>
      <c r="P108" s="111">
        <f t="shared" si="30"/>
        <v>-3816439650</v>
      </c>
      <c r="Q108" s="111">
        <f t="shared" si="30"/>
        <v>-4062924047</v>
      </c>
      <c r="R108" s="111">
        <f t="shared" si="30"/>
        <v>-4316333690</v>
      </c>
      <c r="S108" s="111">
        <f t="shared" si="30"/>
        <v>-4577701624</v>
      </c>
      <c r="T108" s="111">
        <f t="shared" si="30"/>
        <v>-4848071684</v>
      </c>
      <c r="U108" s="111">
        <f t="shared" si="30"/>
        <v>-5128510137</v>
      </c>
      <c r="V108" s="111">
        <f t="shared" si="30"/>
        <v>-5420116636</v>
      </c>
      <c r="W108" s="111">
        <f t="shared" si="30"/>
        <v>-5724034680</v>
      </c>
      <c r="X108" s="111">
        <f t="shared" si="30"/>
        <v>-6041461737</v>
      </c>
      <c r="Y108" s="111">
        <f t="shared" si="30"/>
        <v>-6373659195</v>
      </c>
      <c r="Z108" s="111">
        <f t="shared" si="30"/>
        <v>-6721962248</v>
      </c>
    </row>
    <row r="109" ht="15.0" hidden="1" customHeight="1" outlineLevel="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0" hidden="1" customHeight="1" outlineLevel="1">
      <c r="A110" s="110" t="s">
        <v>598</v>
      </c>
      <c r="B110" s="2"/>
      <c r="C110" s="112">
        <f>$D$83*(1+$E$83)^0</f>
        <v>300</v>
      </c>
      <c r="D110" s="112">
        <f>$D$83*(1+$E$83)^1</f>
        <v>324</v>
      </c>
      <c r="E110" s="112">
        <f>$D$83*(1+$E$83)^2</f>
        <v>349.92</v>
      </c>
      <c r="F110" s="112">
        <f>$D$83*(1+$E$83)^3</f>
        <v>377.9136</v>
      </c>
      <c r="G110" s="112">
        <f>$D$83*(1+$E$83)^4</f>
        <v>408.146688</v>
      </c>
      <c r="H110" s="112">
        <f>$D$83*(1+$E$83)^5</f>
        <v>440.798423</v>
      </c>
      <c r="I110" s="112">
        <f>$D$83*(1+$E$83)^6</f>
        <v>476.0622969</v>
      </c>
      <c r="J110" s="112">
        <f>$D$83*(1+$E$83)^7</f>
        <v>514.1472806</v>
      </c>
      <c r="K110" s="112">
        <f>$D$83*(1+$E$83)^8</f>
        <v>555.2790631</v>
      </c>
      <c r="L110" s="112">
        <f>$D$83*(1+$E$83)^9</f>
        <v>599.7013881</v>
      </c>
      <c r="M110" s="112">
        <f>$D$83*(1+$E$83)^10</f>
        <v>647.6774992</v>
      </c>
      <c r="N110" s="112">
        <f>$D$83*(1+$E$83)^11</f>
        <v>699.4916991</v>
      </c>
      <c r="O110" s="112">
        <f>$D$83*(1+$E$83)^12</f>
        <v>755.451035</v>
      </c>
      <c r="P110" s="112">
        <f>$D$83*(1+$E$83)^13</f>
        <v>815.8871178</v>
      </c>
      <c r="Q110" s="112">
        <f>$D$83*(1+$E$83)^14</f>
        <v>881.1580873</v>
      </c>
      <c r="R110" s="112">
        <f>$D$83*(1+$E$83)^15</f>
        <v>951.6507343</v>
      </c>
      <c r="S110" s="112">
        <f>$D$83*(1+$E$83)^16</f>
        <v>1027.782793</v>
      </c>
      <c r="T110" s="112">
        <f>$D$83*(1+$E$83)^17</f>
        <v>1110.005416</v>
      </c>
      <c r="U110" s="112">
        <f>$D$83*(1+$E$83)^18</f>
        <v>1198.80585</v>
      </c>
      <c r="V110" s="112">
        <f>$D$83*(1+$E$83)^19</f>
        <v>1294.710318</v>
      </c>
      <c r="W110" s="112">
        <f>$D$83*(1+$E$83)^20</f>
        <v>1398.287143</v>
      </c>
      <c r="X110" s="112">
        <f>$D$83*(1+$E$83)^21</f>
        <v>1510.150115</v>
      </c>
      <c r="Y110" s="112">
        <f>$D$83*(1+$E$83)^22</f>
        <v>1630.962124</v>
      </c>
      <c r="Z110" s="112">
        <f>$D$83*(1+$E$83)^23</f>
        <v>1761.439094</v>
      </c>
    </row>
    <row r="111" ht="15.0" hidden="1" customHeight="1" outlineLevel="1">
      <c r="A111" s="110" t="s">
        <v>599</v>
      </c>
      <c r="B111" s="110">
        <v>0.0</v>
      </c>
      <c r="C111" s="112">
        <f t="shared" ref="C111:Z111" si="31">B111*(1-$F$83)+C110</f>
        <v>300</v>
      </c>
      <c r="D111" s="112">
        <f t="shared" si="31"/>
        <v>570</v>
      </c>
      <c r="E111" s="112">
        <f t="shared" si="31"/>
        <v>817.32</v>
      </c>
      <c r="F111" s="112">
        <f t="shared" si="31"/>
        <v>1048.116</v>
      </c>
      <c r="G111" s="112">
        <f t="shared" si="31"/>
        <v>1267.601808</v>
      </c>
      <c r="H111" s="112">
        <f t="shared" si="31"/>
        <v>1480.231906</v>
      </c>
      <c r="I111" s="112">
        <f t="shared" si="31"/>
        <v>1689.852459</v>
      </c>
      <c r="J111" s="112">
        <f t="shared" si="31"/>
        <v>1899.826297</v>
      </c>
      <c r="K111" s="112">
        <f t="shared" si="31"/>
        <v>2113.136627</v>
      </c>
      <c r="L111" s="112">
        <f t="shared" si="31"/>
        <v>2332.473422</v>
      </c>
      <c r="M111" s="112">
        <f t="shared" si="31"/>
        <v>2560.305705</v>
      </c>
      <c r="N111" s="112">
        <f t="shared" si="31"/>
        <v>2798.942378</v>
      </c>
      <c r="O111" s="112">
        <f t="shared" si="31"/>
        <v>3050.583785</v>
      </c>
      <c r="P111" s="112">
        <f t="shared" si="31"/>
        <v>3317.365821</v>
      </c>
      <c r="Q111" s="112">
        <f t="shared" si="31"/>
        <v>3601.398061</v>
      </c>
      <c r="R111" s="112">
        <f t="shared" si="31"/>
        <v>3904.797144</v>
      </c>
      <c r="S111" s="112">
        <f t="shared" si="31"/>
        <v>4229.716451</v>
      </c>
      <c r="T111" s="112">
        <f t="shared" si="31"/>
        <v>4578.372906</v>
      </c>
      <c r="U111" s="112">
        <f t="shared" si="31"/>
        <v>4953.071633</v>
      </c>
      <c r="V111" s="112">
        <f t="shared" si="31"/>
        <v>5356.229057</v>
      </c>
      <c r="W111" s="112">
        <f t="shared" si="31"/>
        <v>5790.39497</v>
      </c>
      <c r="X111" s="112">
        <f t="shared" si="31"/>
        <v>6258.27399</v>
      </c>
      <c r="Y111" s="112">
        <f t="shared" si="31"/>
        <v>6762.746795</v>
      </c>
      <c r="Z111" s="112">
        <f t="shared" si="31"/>
        <v>7306.891466</v>
      </c>
    </row>
    <row r="112" ht="15.0" hidden="1" customHeight="1" outlineLevel="1">
      <c r="A112" s="110" t="s">
        <v>600</v>
      </c>
      <c r="B112" s="111">
        <f>-$I$83</f>
        <v>-400000000</v>
      </c>
      <c r="C112" s="111">
        <f t="shared" ref="C112:Z112" si="32">C111*($B$83-$C$83)-C110*$G$83-$H$83</f>
        <v>-292559898</v>
      </c>
      <c r="D112" s="111">
        <f t="shared" si="32"/>
        <v>-275663806.1</v>
      </c>
      <c r="E112" s="111">
        <f t="shared" si="32"/>
        <v>-262942186</v>
      </c>
      <c r="F112" s="111">
        <f t="shared" si="32"/>
        <v>-253734286.7</v>
      </c>
      <c r="G112" s="111">
        <f t="shared" si="32"/>
        <v>-247505544.8</v>
      </c>
      <c r="H112" s="111">
        <f t="shared" si="32"/>
        <v>-243825450.8</v>
      </c>
      <c r="I112" s="111">
        <f t="shared" si="32"/>
        <v>-242349446.1</v>
      </c>
      <c r="J112" s="111">
        <f t="shared" si="32"/>
        <v>-242804128.3</v>
      </c>
      <c r="K112" s="111">
        <f t="shared" si="32"/>
        <v>-244975174.3</v>
      </c>
      <c r="L112" s="111">
        <f t="shared" si="32"/>
        <v>-248697495.2</v>
      </c>
      <c r="M112" s="111">
        <f t="shared" si="32"/>
        <v>-253847226.5</v>
      </c>
      <c r="N112" s="111">
        <f t="shared" si="32"/>
        <v>-260335228.6</v>
      </c>
      <c r="O112" s="111">
        <f t="shared" si="32"/>
        <v>-268101830.5</v>
      </c>
      <c r="P112" s="111">
        <f t="shared" si="32"/>
        <v>-277112599.6</v>
      </c>
      <c r="Q112" s="111">
        <f t="shared" si="32"/>
        <v>-287354958.1</v>
      </c>
      <c r="R112" s="111">
        <f t="shared" si="32"/>
        <v>-298835502.1</v>
      </c>
      <c r="S112" s="111">
        <f t="shared" si="32"/>
        <v>-311577903.2</v>
      </c>
      <c r="T112" s="111">
        <f t="shared" si="32"/>
        <v>-325621295.4</v>
      </c>
      <c r="U112" s="111">
        <f t="shared" si="32"/>
        <v>-341019070.2</v>
      </c>
      <c r="V112" s="111">
        <f t="shared" si="32"/>
        <v>-357838014.2</v>
      </c>
      <c r="W112" s="111">
        <f t="shared" si="32"/>
        <v>-376157738.3</v>
      </c>
      <c r="X112" s="111">
        <f t="shared" si="32"/>
        <v>-396070357.5</v>
      </c>
      <c r="Y112" s="111">
        <f t="shared" si="32"/>
        <v>-417680386.2</v>
      </c>
      <c r="Z112" s="111">
        <f t="shared" si="32"/>
        <v>-441104825.1</v>
      </c>
    </row>
    <row r="113" ht="15.0" hidden="1" customHeight="1" outlineLevel="1">
      <c r="A113" s="110" t="s">
        <v>601</v>
      </c>
      <c r="B113" s="111">
        <f>$J$83+B112</f>
        <v>1100000000</v>
      </c>
      <c r="C113" s="111">
        <f t="shared" ref="C113:Z113" si="33">B113+C112</f>
        <v>807440102</v>
      </c>
      <c r="D113" s="111">
        <f t="shared" si="33"/>
        <v>531776295.9</v>
      </c>
      <c r="E113" s="111">
        <f t="shared" si="33"/>
        <v>268834110</v>
      </c>
      <c r="F113" s="111">
        <f t="shared" si="33"/>
        <v>15099823.29</v>
      </c>
      <c r="G113" s="111">
        <f t="shared" si="33"/>
        <v>-232405721.5</v>
      </c>
      <c r="H113" s="111">
        <f t="shared" si="33"/>
        <v>-476231172.3</v>
      </c>
      <c r="I113" s="111">
        <f t="shared" si="33"/>
        <v>-718580618.3</v>
      </c>
      <c r="J113" s="111">
        <f t="shared" si="33"/>
        <v>-961384746.6</v>
      </c>
      <c r="K113" s="111">
        <f t="shared" si="33"/>
        <v>-1206359921</v>
      </c>
      <c r="L113" s="111">
        <f t="shared" si="33"/>
        <v>-1455057416</v>
      </c>
      <c r="M113" s="111">
        <f t="shared" si="33"/>
        <v>-1708904643</v>
      </c>
      <c r="N113" s="111">
        <f t="shared" si="33"/>
        <v>-1969239871</v>
      </c>
      <c r="O113" s="111">
        <f t="shared" si="33"/>
        <v>-2237341702</v>
      </c>
      <c r="P113" s="111">
        <f t="shared" si="33"/>
        <v>-2514454301</v>
      </c>
      <c r="Q113" s="111">
        <f t="shared" si="33"/>
        <v>-2801809259</v>
      </c>
      <c r="R113" s="111">
        <f t="shared" si="33"/>
        <v>-3100644761</v>
      </c>
      <c r="S113" s="111">
        <f t="shared" si="33"/>
        <v>-3412222665</v>
      </c>
      <c r="T113" s="111">
        <f t="shared" si="33"/>
        <v>-3737843960</v>
      </c>
      <c r="U113" s="111">
        <f t="shared" si="33"/>
        <v>-4078863030</v>
      </c>
      <c r="V113" s="111">
        <f t="shared" si="33"/>
        <v>-4436701044</v>
      </c>
      <c r="W113" s="111">
        <f t="shared" si="33"/>
        <v>-4812858783</v>
      </c>
      <c r="X113" s="111">
        <f t="shared" si="33"/>
        <v>-5208929140</v>
      </c>
      <c r="Y113" s="111">
        <f t="shared" si="33"/>
        <v>-5626609526</v>
      </c>
      <c r="Z113" s="111">
        <f t="shared" si="33"/>
        <v>-6067714352</v>
      </c>
    </row>
    <row r="114" ht="15.0" hidden="1" customHeight="1" outlineLevel="1">
      <c r="A114" s="110" t="s">
        <v>602</v>
      </c>
      <c r="B114" s="111">
        <f>B112</f>
        <v>-400000000</v>
      </c>
      <c r="C114" s="111">
        <f t="shared" ref="C114:Z114" si="34">B114+C112</f>
        <v>-692559898</v>
      </c>
      <c r="D114" s="111">
        <f t="shared" si="34"/>
        <v>-968223704.1</v>
      </c>
      <c r="E114" s="111">
        <f t="shared" si="34"/>
        <v>-1231165890</v>
      </c>
      <c r="F114" s="111">
        <f t="shared" si="34"/>
        <v>-1484900177</v>
      </c>
      <c r="G114" s="111">
        <f t="shared" si="34"/>
        <v>-1732405721</v>
      </c>
      <c r="H114" s="111">
        <f t="shared" si="34"/>
        <v>-1976231172</v>
      </c>
      <c r="I114" s="111">
        <f t="shared" si="34"/>
        <v>-2218580618</v>
      </c>
      <c r="J114" s="111">
        <f t="shared" si="34"/>
        <v>-2461384747</v>
      </c>
      <c r="K114" s="111">
        <f t="shared" si="34"/>
        <v>-2706359921</v>
      </c>
      <c r="L114" s="111">
        <f t="shared" si="34"/>
        <v>-2955057416</v>
      </c>
      <c r="M114" s="111">
        <f t="shared" si="34"/>
        <v>-3208904643</v>
      </c>
      <c r="N114" s="111">
        <f t="shared" si="34"/>
        <v>-3469239871</v>
      </c>
      <c r="O114" s="111">
        <f t="shared" si="34"/>
        <v>-3737341702</v>
      </c>
      <c r="P114" s="111">
        <f t="shared" si="34"/>
        <v>-4014454301</v>
      </c>
      <c r="Q114" s="111">
        <f t="shared" si="34"/>
        <v>-4301809259</v>
      </c>
      <c r="R114" s="111">
        <f t="shared" si="34"/>
        <v>-4600644761</v>
      </c>
      <c r="S114" s="111">
        <f t="shared" si="34"/>
        <v>-4912222665</v>
      </c>
      <c r="T114" s="111">
        <f t="shared" si="34"/>
        <v>-5237843960</v>
      </c>
      <c r="U114" s="111">
        <f t="shared" si="34"/>
        <v>-5578863030</v>
      </c>
      <c r="V114" s="111">
        <f t="shared" si="34"/>
        <v>-5936701044</v>
      </c>
      <c r="W114" s="111">
        <f t="shared" si="34"/>
        <v>-6312858783</v>
      </c>
      <c r="X114" s="111">
        <f t="shared" si="34"/>
        <v>-6708929140</v>
      </c>
      <c r="Y114" s="111">
        <f t="shared" si="34"/>
        <v>-7126609526</v>
      </c>
      <c r="Z114" s="111">
        <f t="shared" si="34"/>
        <v>-7567714352</v>
      </c>
    </row>
    <row r="115" ht="15.0" hidden="1" customHeight="1" outlineLevel="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0" hidden="1" customHeight="1" outlineLevel="1">
      <c r="A116" s="110" t="s">
        <v>603</v>
      </c>
      <c r="B116" s="2"/>
      <c r="C116" s="112">
        <f>$D$84*(1+$E$84)^0</f>
        <v>300</v>
      </c>
      <c r="D116" s="112">
        <f>$D$84*(1+$E$84)^1</f>
        <v>324</v>
      </c>
      <c r="E116" s="112">
        <f>$D$84*(1+$E$84)^2</f>
        <v>349.92</v>
      </c>
      <c r="F116" s="112">
        <f>$D$84*(1+$E$84)^3</f>
        <v>377.9136</v>
      </c>
      <c r="G116" s="112">
        <f>$D$84*(1+$E$84)^4</f>
        <v>408.146688</v>
      </c>
      <c r="H116" s="112">
        <f>$D$84*(1+$E$84)^5</f>
        <v>440.798423</v>
      </c>
      <c r="I116" s="112">
        <f>$D$84*(1+$E$84)^6</f>
        <v>476.0622969</v>
      </c>
      <c r="J116" s="112">
        <f>$D$84*(1+$E$84)^7</f>
        <v>514.1472806</v>
      </c>
      <c r="K116" s="112">
        <f>$D$84*(1+$E$84)^8</f>
        <v>555.2790631</v>
      </c>
      <c r="L116" s="112">
        <f>$D$84*(1+$E$84)^9</f>
        <v>599.7013881</v>
      </c>
      <c r="M116" s="112">
        <f>$D$84*(1+$E$84)^10</f>
        <v>647.6774992</v>
      </c>
      <c r="N116" s="112">
        <f>$D$84*(1+$E$84)^11</f>
        <v>699.4916991</v>
      </c>
      <c r="O116" s="112">
        <f>$D$84*(1+$E$84)^12</f>
        <v>755.451035</v>
      </c>
      <c r="P116" s="112">
        <f>$D$84*(1+$E$84)^13</f>
        <v>815.8871178</v>
      </c>
      <c r="Q116" s="112">
        <f>$D$84*(1+$E$84)^14</f>
        <v>881.1580873</v>
      </c>
      <c r="R116" s="112">
        <f>$D$84*(1+$E$84)^15</f>
        <v>951.6507343</v>
      </c>
      <c r="S116" s="112">
        <f>$D$84*(1+$E$84)^16</f>
        <v>1027.782793</v>
      </c>
      <c r="T116" s="112">
        <f>$D$84*(1+$E$84)^17</f>
        <v>1110.005416</v>
      </c>
      <c r="U116" s="112">
        <f>$D$84*(1+$E$84)^18</f>
        <v>1198.80585</v>
      </c>
      <c r="V116" s="112">
        <f>$D$84*(1+$E$84)^19</f>
        <v>1294.710318</v>
      </c>
      <c r="W116" s="112">
        <f>$D$84*(1+$E$84)^20</f>
        <v>1398.287143</v>
      </c>
      <c r="X116" s="112">
        <f>$D$84*(1+$E$84)^21</f>
        <v>1510.150115</v>
      </c>
      <c r="Y116" s="112">
        <f>$D$84*(1+$E$84)^22</f>
        <v>1630.962124</v>
      </c>
      <c r="Z116" s="112">
        <f>$D$84*(1+$E$84)^23</f>
        <v>1761.439094</v>
      </c>
    </row>
    <row r="117" ht="15.0" hidden="1" customHeight="1" outlineLevel="1">
      <c r="A117" s="110" t="s">
        <v>604</v>
      </c>
      <c r="B117" s="110">
        <v>0.0</v>
      </c>
      <c r="C117" s="112">
        <f t="shared" ref="C117:Z117" si="35">B117*(1-$F$84)+C116</f>
        <v>300</v>
      </c>
      <c r="D117" s="112">
        <f t="shared" si="35"/>
        <v>579</v>
      </c>
      <c r="E117" s="112">
        <f t="shared" si="35"/>
        <v>842.07</v>
      </c>
      <c r="F117" s="112">
        <f t="shared" si="35"/>
        <v>1093.6731</v>
      </c>
      <c r="G117" s="112">
        <f t="shared" si="35"/>
        <v>1337.768823</v>
      </c>
      <c r="H117" s="112">
        <f t="shared" si="35"/>
        <v>1577.901923</v>
      </c>
      <c r="I117" s="112">
        <f t="shared" si="35"/>
        <v>1817.278931</v>
      </c>
      <c r="J117" s="112">
        <f t="shared" si="35"/>
        <v>2058.834372</v>
      </c>
      <c r="K117" s="112">
        <f t="shared" si="35"/>
        <v>2305.288279</v>
      </c>
      <c r="L117" s="112">
        <f t="shared" si="35"/>
        <v>2559.196426</v>
      </c>
      <c r="M117" s="112">
        <f t="shared" si="35"/>
        <v>2822.994461</v>
      </c>
      <c r="N117" s="112">
        <f t="shared" si="35"/>
        <v>3099.036991</v>
      </c>
      <c r="O117" s="112">
        <f t="shared" si="35"/>
        <v>3389.632477</v>
      </c>
      <c r="P117" s="112">
        <f t="shared" si="35"/>
        <v>3697.074724</v>
      </c>
      <c r="Q117" s="112">
        <f t="shared" si="35"/>
        <v>4023.671602</v>
      </c>
      <c r="R117" s="112">
        <f t="shared" si="35"/>
        <v>4371.771596</v>
      </c>
      <c r="S117" s="112">
        <f t="shared" si="35"/>
        <v>4743.78865</v>
      </c>
      <c r="T117" s="112">
        <f t="shared" si="35"/>
        <v>5142.225769</v>
      </c>
      <c r="U117" s="112">
        <f t="shared" si="35"/>
        <v>5569.697753</v>
      </c>
      <c r="V117" s="112">
        <f t="shared" si="35"/>
        <v>6028.953408</v>
      </c>
      <c r="W117" s="112">
        <f t="shared" si="35"/>
        <v>6522.89754</v>
      </c>
      <c r="X117" s="112">
        <f t="shared" si="35"/>
        <v>7054.613024</v>
      </c>
      <c r="Y117" s="112">
        <f t="shared" si="35"/>
        <v>7627.383194</v>
      </c>
      <c r="Z117" s="112">
        <f t="shared" si="35"/>
        <v>8244.714808</v>
      </c>
    </row>
    <row r="118" ht="15.0" hidden="1" customHeight="1" outlineLevel="1">
      <c r="A118" s="110" t="s">
        <v>605</v>
      </c>
      <c r="B118" s="111">
        <f>-$I$84</f>
        <v>-400000000</v>
      </c>
      <c r="C118" s="111">
        <f t="shared" ref="C118:Z118" si="36">C117*($B$84-$C$84)-C116*$G$84-$H$84</f>
        <v>-334559898</v>
      </c>
      <c r="D118" s="111">
        <f t="shared" si="36"/>
        <v>-319900603</v>
      </c>
      <c r="E118" s="111">
        <f t="shared" si="36"/>
        <v>-308842177.6</v>
      </c>
      <c r="F118" s="111">
        <f t="shared" si="36"/>
        <v>-300956649.1</v>
      </c>
      <c r="G118" s="111">
        <f t="shared" si="36"/>
        <v>-295889213.8</v>
      </c>
      <c r="H118" s="111">
        <f t="shared" si="36"/>
        <v>-293347978.7</v>
      </c>
      <c r="I118" s="111">
        <f t="shared" si="36"/>
        <v>-293095300.6</v>
      </c>
      <c r="J118" s="111">
        <f t="shared" si="36"/>
        <v>-294940485.8</v>
      </c>
      <c r="K118" s="111">
        <f t="shared" si="36"/>
        <v>-298733651.6</v>
      </c>
      <c r="L118" s="111">
        <f t="shared" si="36"/>
        <v>-304360581.6</v>
      </c>
      <c r="M118" s="111">
        <f t="shared" si="36"/>
        <v>-311738430.3</v>
      </c>
      <c r="N118" s="111">
        <f t="shared" si="36"/>
        <v>-320812156.6</v>
      </c>
      <c r="O118" s="111">
        <f t="shared" si="36"/>
        <v>-331551583.3</v>
      </c>
      <c r="P118" s="111">
        <f t="shared" si="36"/>
        <v>-343948995.9</v>
      </c>
      <c r="Q118" s="111">
        <f t="shared" si="36"/>
        <v>-358017208.7</v>
      </c>
      <c r="R118" s="111">
        <f t="shared" si="36"/>
        <v>-373788034.5</v>
      </c>
      <c r="S118" s="111">
        <f t="shared" si="36"/>
        <v>-391311109</v>
      </c>
      <c r="T118" s="111">
        <f t="shared" si="36"/>
        <v>-410653024.7</v>
      </c>
      <c r="U118" s="111">
        <f t="shared" si="36"/>
        <v>-431896739.6</v>
      </c>
      <c r="V118" s="111">
        <f t="shared" si="36"/>
        <v>-455141230.8</v>
      </c>
      <c r="W118" s="111">
        <f t="shared" si="36"/>
        <v>-480501368.4</v>
      </c>
      <c r="X118" s="111">
        <f t="shared" si="36"/>
        <v>-508107991.2</v>
      </c>
      <c r="Y118" s="111">
        <f t="shared" si="36"/>
        <v>-538108166.9</v>
      </c>
      <c r="Z118" s="111">
        <f t="shared" si="36"/>
        <v>-570665626.1</v>
      </c>
    </row>
    <row r="119" ht="15.0" hidden="1" customHeight="1" outlineLevel="1">
      <c r="A119" s="110" t="s">
        <v>606</v>
      </c>
      <c r="B119" s="111">
        <f>$J$84+B118</f>
        <v>1100000000</v>
      </c>
      <c r="C119" s="111">
        <f t="shared" ref="C119:Z119" si="37">B119+C118</f>
        <v>765440102</v>
      </c>
      <c r="D119" s="111">
        <f t="shared" si="37"/>
        <v>445539499</v>
      </c>
      <c r="E119" s="111">
        <f t="shared" si="37"/>
        <v>136697321.4</v>
      </c>
      <c r="F119" s="111">
        <f t="shared" si="37"/>
        <v>-164259327.7</v>
      </c>
      <c r="G119" s="111">
        <f t="shared" si="37"/>
        <v>-460148541.4</v>
      </c>
      <c r="H119" s="111">
        <f t="shared" si="37"/>
        <v>-753496520.1</v>
      </c>
      <c r="I119" s="111">
        <f t="shared" si="37"/>
        <v>-1046591821</v>
      </c>
      <c r="J119" s="111">
        <f t="shared" si="37"/>
        <v>-1341532306</v>
      </c>
      <c r="K119" s="111">
        <f t="shared" si="37"/>
        <v>-1640265958</v>
      </c>
      <c r="L119" s="111">
        <f t="shared" si="37"/>
        <v>-1944626540</v>
      </c>
      <c r="M119" s="111">
        <f t="shared" si="37"/>
        <v>-2256364970</v>
      </c>
      <c r="N119" s="111">
        <f t="shared" si="37"/>
        <v>-2577177127</v>
      </c>
      <c r="O119" s="111">
        <f t="shared" si="37"/>
        <v>-2908728710</v>
      </c>
      <c r="P119" s="111">
        <f t="shared" si="37"/>
        <v>-3252677706</v>
      </c>
      <c r="Q119" s="111">
        <f t="shared" si="37"/>
        <v>-3610694914</v>
      </c>
      <c r="R119" s="111">
        <f t="shared" si="37"/>
        <v>-3984482949</v>
      </c>
      <c r="S119" s="111">
        <f t="shared" si="37"/>
        <v>-4375794058</v>
      </c>
      <c r="T119" s="111">
        <f t="shared" si="37"/>
        <v>-4786447083</v>
      </c>
      <c r="U119" s="111">
        <f t="shared" si="37"/>
        <v>-5218343822</v>
      </c>
      <c r="V119" s="111">
        <f t="shared" si="37"/>
        <v>-5673485053</v>
      </c>
      <c r="W119" s="111">
        <f t="shared" si="37"/>
        <v>-6153986421</v>
      </c>
      <c r="X119" s="111">
        <f t="shared" si="37"/>
        <v>-6662094413</v>
      </c>
      <c r="Y119" s="111">
        <f t="shared" si="37"/>
        <v>-7200202579</v>
      </c>
      <c r="Z119" s="111">
        <f t="shared" si="37"/>
        <v>-7770868206</v>
      </c>
    </row>
    <row r="120" ht="15.0" hidden="1" customHeight="1" outlineLevel="1">
      <c r="A120" s="110" t="s">
        <v>607</v>
      </c>
      <c r="B120" s="111">
        <f>B118</f>
        <v>-400000000</v>
      </c>
      <c r="C120" s="111">
        <f t="shared" ref="C120:Z120" si="38">B120+C118</f>
        <v>-734559898</v>
      </c>
      <c r="D120" s="111">
        <f t="shared" si="38"/>
        <v>-1054460501</v>
      </c>
      <c r="E120" s="111">
        <f t="shared" si="38"/>
        <v>-1363302679</v>
      </c>
      <c r="F120" s="111">
        <f t="shared" si="38"/>
        <v>-1664259328</v>
      </c>
      <c r="G120" s="111">
        <f t="shared" si="38"/>
        <v>-1960148541</v>
      </c>
      <c r="H120" s="111">
        <f t="shared" si="38"/>
        <v>-2253496520</v>
      </c>
      <c r="I120" s="111">
        <f t="shared" si="38"/>
        <v>-2546591821</v>
      </c>
      <c r="J120" s="111">
        <f t="shared" si="38"/>
        <v>-2841532306</v>
      </c>
      <c r="K120" s="111">
        <f t="shared" si="38"/>
        <v>-3140265958</v>
      </c>
      <c r="L120" s="111">
        <f t="shared" si="38"/>
        <v>-3444626540</v>
      </c>
      <c r="M120" s="111">
        <f t="shared" si="38"/>
        <v>-3756364970</v>
      </c>
      <c r="N120" s="111">
        <f t="shared" si="38"/>
        <v>-4077177127</v>
      </c>
      <c r="O120" s="111">
        <f t="shared" si="38"/>
        <v>-4408728710</v>
      </c>
      <c r="P120" s="111">
        <f t="shared" si="38"/>
        <v>-4752677706</v>
      </c>
      <c r="Q120" s="111">
        <f t="shared" si="38"/>
        <v>-5110694914</v>
      </c>
      <c r="R120" s="111">
        <f t="shared" si="38"/>
        <v>-5484482949</v>
      </c>
      <c r="S120" s="111">
        <f t="shared" si="38"/>
        <v>-5875794058</v>
      </c>
      <c r="T120" s="111">
        <f t="shared" si="38"/>
        <v>-6286447083</v>
      </c>
      <c r="U120" s="111">
        <f t="shared" si="38"/>
        <v>-6718343822</v>
      </c>
      <c r="V120" s="111">
        <f t="shared" si="38"/>
        <v>-7173485053</v>
      </c>
      <c r="W120" s="111">
        <f t="shared" si="38"/>
        <v>-7653986421</v>
      </c>
      <c r="X120" s="111">
        <f t="shared" si="38"/>
        <v>-8162094413</v>
      </c>
      <c r="Y120" s="111">
        <f t="shared" si="38"/>
        <v>-8700202579</v>
      </c>
      <c r="Z120" s="111">
        <f t="shared" si="38"/>
        <v>-9270868206</v>
      </c>
    </row>
    <row r="121" ht="15.0" hidden="1" customHeight="1" outlineLevel="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0" hidden="1" customHeight="1" outlineLevel="1">
      <c r="A122" s="110" t="s">
        <v>608</v>
      </c>
      <c r="B122" s="2"/>
      <c r="C122" s="112">
        <f>$D$85*(1+$E$85)^0</f>
        <v>240</v>
      </c>
      <c r="D122" s="112">
        <f>$D$85*(1+$E$85)^1</f>
        <v>259.2</v>
      </c>
      <c r="E122" s="112">
        <f>$D$85*(1+$E$85)^2</f>
        <v>279.936</v>
      </c>
      <c r="F122" s="112">
        <f>$D$85*(1+$E$85)^3</f>
        <v>302.33088</v>
      </c>
      <c r="G122" s="112">
        <f>$D$85*(1+$E$85)^4</f>
        <v>326.5173504</v>
      </c>
      <c r="H122" s="112">
        <f>$D$85*(1+$E$85)^5</f>
        <v>352.6387384</v>
      </c>
      <c r="I122" s="112">
        <f>$D$85*(1+$E$85)^6</f>
        <v>380.8498375</v>
      </c>
      <c r="J122" s="112">
        <f>$D$85*(1+$E$85)^7</f>
        <v>411.3178245</v>
      </c>
      <c r="K122" s="112">
        <f>$D$85*(1+$E$85)^8</f>
        <v>444.2232505</v>
      </c>
      <c r="L122" s="112">
        <f>$D$85*(1+$E$85)^9</f>
        <v>479.7611105</v>
      </c>
      <c r="M122" s="112">
        <f>$D$85*(1+$E$85)^10</f>
        <v>518.1419993</v>
      </c>
      <c r="N122" s="112">
        <f>$D$85*(1+$E$85)^11</f>
        <v>559.5933593</v>
      </c>
      <c r="O122" s="112">
        <f>$D$85*(1+$E$85)^12</f>
        <v>604.360828</v>
      </c>
      <c r="P122" s="112">
        <f>$D$85*(1+$E$85)^13</f>
        <v>652.7096943</v>
      </c>
      <c r="Q122" s="112">
        <f>$D$85*(1+$E$85)^14</f>
        <v>704.9264698</v>
      </c>
      <c r="R122" s="112">
        <f>$D$85*(1+$E$85)^15</f>
        <v>761.3205874</v>
      </c>
      <c r="S122" s="112">
        <f>$D$85*(1+$E$85)^16</f>
        <v>822.2262344</v>
      </c>
      <c r="T122" s="112">
        <f>$D$85*(1+$E$85)^17</f>
        <v>888.0043332</v>
      </c>
      <c r="U122" s="112">
        <f>$D$85*(1+$E$85)^18</f>
        <v>959.0446798</v>
      </c>
      <c r="V122" s="112">
        <f>$D$85*(1+$E$85)^19</f>
        <v>1035.768254</v>
      </c>
      <c r="W122" s="112">
        <f>$D$85*(1+$E$85)^20</f>
        <v>1118.629715</v>
      </c>
      <c r="X122" s="112">
        <f>$D$85*(1+$E$85)^21</f>
        <v>1208.120092</v>
      </c>
      <c r="Y122" s="112">
        <f>$D$85*(1+$E$85)^22</f>
        <v>1304.769699</v>
      </c>
      <c r="Z122" s="112">
        <f>$D$85*(1+$E$85)^23</f>
        <v>1409.151275</v>
      </c>
    </row>
    <row r="123" ht="15.0" hidden="1" customHeight="1" outlineLevel="1">
      <c r="A123" s="110" t="s">
        <v>609</v>
      </c>
      <c r="B123" s="110">
        <v>0.0</v>
      </c>
      <c r="C123" s="112">
        <f t="shared" ref="C123:Z123" si="39">B123*(1-$F$85)+C122</f>
        <v>240</v>
      </c>
      <c r="D123" s="112">
        <f t="shared" si="39"/>
        <v>463.2</v>
      </c>
      <c r="E123" s="112">
        <f t="shared" si="39"/>
        <v>673.656</v>
      </c>
      <c r="F123" s="112">
        <f t="shared" si="39"/>
        <v>874.93848</v>
      </c>
      <c r="G123" s="112">
        <f t="shared" si="39"/>
        <v>1070.215058</v>
      </c>
      <c r="H123" s="112">
        <f t="shared" si="39"/>
        <v>1262.321538</v>
      </c>
      <c r="I123" s="112">
        <f t="shared" si="39"/>
        <v>1453.823145</v>
      </c>
      <c r="J123" s="112">
        <f t="shared" si="39"/>
        <v>1647.067498</v>
      </c>
      <c r="K123" s="112">
        <f t="shared" si="39"/>
        <v>1844.230623</v>
      </c>
      <c r="L123" s="112">
        <f t="shared" si="39"/>
        <v>2047.35714</v>
      </c>
      <c r="M123" s="112">
        <f t="shared" si="39"/>
        <v>2258.395569</v>
      </c>
      <c r="N123" s="112">
        <f t="shared" si="39"/>
        <v>2479.229593</v>
      </c>
      <c r="O123" s="112">
        <f t="shared" si="39"/>
        <v>2711.705982</v>
      </c>
      <c r="P123" s="112">
        <f t="shared" si="39"/>
        <v>2957.659779</v>
      </c>
      <c r="Q123" s="112">
        <f t="shared" si="39"/>
        <v>3218.937282</v>
      </c>
      <c r="R123" s="112">
        <f t="shared" si="39"/>
        <v>3497.417277</v>
      </c>
      <c r="S123" s="112">
        <f t="shared" si="39"/>
        <v>3795.03092</v>
      </c>
      <c r="T123" s="112">
        <f t="shared" si="39"/>
        <v>4113.780615</v>
      </c>
      <c r="U123" s="112">
        <f t="shared" si="39"/>
        <v>4455.758203</v>
      </c>
      <c r="V123" s="112">
        <f t="shared" si="39"/>
        <v>4823.162726</v>
      </c>
      <c r="W123" s="112">
        <f t="shared" si="39"/>
        <v>5218.318032</v>
      </c>
      <c r="X123" s="112">
        <f t="shared" si="39"/>
        <v>5643.690419</v>
      </c>
      <c r="Y123" s="112">
        <f t="shared" si="39"/>
        <v>6101.906555</v>
      </c>
      <c r="Z123" s="112">
        <f t="shared" si="39"/>
        <v>6595.771847</v>
      </c>
    </row>
    <row r="124" ht="15.0" hidden="1" customHeight="1" outlineLevel="1">
      <c r="A124" s="110" t="s">
        <v>610</v>
      </c>
      <c r="B124" s="111">
        <f>-$I$85</f>
        <v>-400000000</v>
      </c>
      <c r="C124" s="111">
        <f t="shared" ref="C124:Z124" si="40">C123*($B$85-$C$85)-C122*$G$85-$H$85</f>
        <v>-258047918.4</v>
      </c>
      <c r="D124" s="111">
        <f t="shared" si="40"/>
        <v>-243632482.4</v>
      </c>
      <c r="E124" s="111">
        <f t="shared" si="40"/>
        <v>-231882702</v>
      </c>
      <c r="F124" s="111">
        <f t="shared" si="40"/>
        <v>-222438996.1</v>
      </c>
      <c r="G124" s="111">
        <f t="shared" si="40"/>
        <v>-214998941.9</v>
      </c>
      <c r="H124" s="111">
        <f t="shared" si="40"/>
        <v>-209308959.6</v>
      </c>
      <c r="I124" s="111">
        <f t="shared" si="40"/>
        <v>-205157263.2</v>
      </c>
      <c r="J124" s="111">
        <f t="shared" si="40"/>
        <v>-202367893.2</v>
      </c>
      <c r="K124" s="111">
        <f t="shared" si="40"/>
        <v>-200795666.2</v>
      </c>
      <c r="L124" s="111">
        <f t="shared" si="40"/>
        <v>-200321909.8</v>
      </c>
      <c r="M124" s="111">
        <f t="shared" si="40"/>
        <v>-200850864.3</v>
      </c>
      <c r="N124" s="111">
        <f t="shared" si="40"/>
        <v>-202306655</v>
      </c>
      <c r="O124" s="111">
        <f t="shared" si="40"/>
        <v>-204630750.7</v>
      </c>
      <c r="P124" s="111">
        <f t="shared" si="40"/>
        <v>-207779839.5</v>
      </c>
      <c r="Q124" s="111">
        <f t="shared" si="40"/>
        <v>-211724061.1</v>
      </c>
      <c r="R124" s="111">
        <f t="shared" si="40"/>
        <v>-216445545.3</v>
      </c>
      <c r="S124" s="111">
        <f t="shared" si="40"/>
        <v>-221937214.4</v>
      </c>
      <c r="T124" s="111">
        <f t="shared" si="40"/>
        <v>-228201813.1</v>
      </c>
      <c r="U124" s="111">
        <f t="shared" si="40"/>
        <v>-235251136.5</v>
      </c>
      <c r="V124" s="111">
        <f t="shared" si="40"/>
        <v>-243105429</v>
      </c>
      <c r="W124" s="111">
        <f t="shared" si="40"/>
        <v>-251792934.7</v>
      </c>
      <c r="X124" s="111">
        <f t="shared" si="40"/>
        <v>-261349580.2</v>
      </c>
      <c r="Y124" s="111">
        <f t="shared" si="40"/>
        <v>-271818775.6</v>
      </c>
      <c r="Z124" s="111">
        <f t="shared" si="40"/>
        <v>-283251322.4</v>
      </c>
    </row>
    <row r="125" ht="15.0" hidden="1" customHeight="1" outlineLevel="1">
      <c r="A125" s="110" t="s">
        <v>611</v>
      </c>
      <c r="B125" s="111">
        <f>$J$85+B124</f>
        <v>1100000000</v>
      </c>
      <c r="C125" s="111">
        <f t="shared" ref="C125:Z125" si="41">B125+C124</f>
        <v>841952081.6</v>
      </c>
      <c r="D125" s="111">
        <f t="shared" si="41"/>
        <v>598319599.2</v>
      </c>
      <c r="E125" s="111">
        <f t="shared" si="41"/>
        <v>366436897.2</v>
      </c>
      <c r="F125" s="111">
        <f t="shared" si="41"/>
        <v>143997901.1</v>
      </c>
      <c r="G125" s="111">
        <f t="shared" si="41"/>
        <v>-71001040.87</v>
      </c>
      <c r="H125" s="111">
        <f t="shared" si="41"/>
        <v>-280310000.4</v>
      </c>
      <c r="I125" s="111">
        <f t="shared" si="41"/>
        <v>-485467263.7</v>
      </c>
      <c r="J125" s="111">
        <f t="shared" si="41"/>
        <v>-687835156.9</v>
      </c>
      <c r="K125" s="111">
        <f t="shared" si="41"/>
        <v>-888630823</v>
      </c>
      <c r="L125" s="111">
        <f t="shared" si="41"/>
        <v>-1088952733</v>
      </c>
      <c r="M125" s="111">
        <f t="shared" si="41"/>
        <v>-1289803597</v>
      </c>
      <c r="N125" s="111">
        <f t="shared" si="41"/>
        <v>-1492110252</v>
      </c>
      <c r="O125" s="111">
        <f t="shared" si="41"/>
        <v>-1696741003</v>
      </c>
      <c r="P125" s="111">
        <f t="shared" si="41"/>
        <v>-1904520842</v>
      </c>
      <c r="Q125" s="111">
        <f t="shared" si="41"/>
        <v>-2116244904</v>
      </c>
      <c r="R125" s="111">
        <f t="shared" si="41"/>
        <v>-2332690449</v>
      </c>
      <c r="S125" s="111">
        <f t="shared" si="41"/>
        <v>-2554627663</v>
      </c>
      <c r="T125" s="111">
        <f t="shared" si="41"/>
        <v>-2782829476</v>
      </c>
      <c r="U125" s="111">
        <f t="shared" si="41"/>
        <v>-3018080613</v>
      </c>
      <c r="V125" s="111">
        <f t="shared" si="41"/>
        <v>-3261186042</v>
      </c>
      <c r="W125" s="111">
        <f t="shared" si="41"/>
        <v>-3512978977</v>
      </c>
      <c r="X125" s="111">
        <f t="shared" si="41"/>
        <v>-3774328557</v>
      </c>
      <c r="Y125" s="111">
        <f t="shared" si="41"/>
        <v>-4046147332</v>
      </c>
      <c r="Z125" s="111">
        <f t="shared" si="41"/>
        <v>-4329398655</v>
      </c>
    </row>
    <row r="126" ht="15.0" hidden="1" customHeight="1" outlineLevel="1">
      <c r="A126" s="110" t="s">
        <v>612</v>
      </c>
      <c r="B126" s="111">
        <f>B124</f>
        <v>-400000000</v>
      </c>
      <c r="C126" s="111">
        <f t="shared" ref="C126:Z126" si="42">B126+C124</f>
        <v>-658047918.4</v>
      </c>
      <c r="D126" s="111">
        <f t="shared" si="42"/>
        <v>-901680400.8</v>
      </c>
      <c r="E126" s="111">
        <f t="shared" si="42"/>
        <v>-1133563103</v>
      </c>
      <c r="F126" s="111">
        <f t="shared" si="42"/>
        <v>-1356002099</v>
      </c>
      <c r="G126" s="111">
        <f t="shared" si="42"/>
        <v>-1571001041</v>
      </c>
      <c r="H126" s="111">
        <f t="shared" si="42"/>
        <v>-1780310000</v>
      </c>
      <c r="I126" s="111">
        <f t="shared" si="42"/>
        <v>-1985467264</v>
      </c>
      <c r="J126" s="111">
        <f t="shared" si="42"/>
        <v>-2187835157</v>
      </c>
      <c r="K126" s="111">
        <f t="shared" si="42"/>
        <v>-2388630823</v>
      </c>
      <c r="L126" s="111">
        <f t="shared" si="42"/>
        <v>-2588952733</v>
      </c>
      <c r="M126" s="111">
        <f t="shared" si="42"/>
        <v>-2789803597</v>
      </c>
      <c r="N126" s="111">
        <f t="shared" si="42"/>
        <v>-2992110252</v>
      </c>
      <c r="O126" s="111">
        <f t="shared" si="42"/>
        <v>-3196741003</v>
      </c>
      <c r="P126" s="111">
        <f t="shared" si="42"/>
        <v>-3404520842</v>
      </c>
      <c r="Q126" s="111">
        <f t="shared" si="42"/>
        <v>-3616244904</v>
      </c>
      <c r="R126" s="111">
        <f t="shared" si="42"/>
        <v>-3832690449</v>
      </c>
      <c r="S126" s="111">
        <f t="shared" si="42"/>
        <v>-4054627663</v>
      </c>
      <c r="T126" s="111">
        <f t="shared" si="42"/>
        <v>-4282829476</v>
      </c>
      <c r="U126" s="111">
        <f t="shared" si="42"/>
        <v>-4518080613</v>
      </c>
      <c r="V126" s="111">
        <f t="shared" si="42"/>
        <v>-4761186042</v>
      </c>
      <c r="W126" s="111">
        <f t="shared" si="42"/>
        <v>-5012978977</v>
      </c>
      <c r="X126" s="111">
        <f t="shared" si="42"/>
        <v>-5274328557</v>
      </c>
      <c r="Y126" s="111">
        <f t="shared" si="42"/>
        <v>-5546147332</v>
      </c>
      <c r="Z126" s="111">
        <f t="shared" si="42"/>
        <v>-5829398655</v>
      </c>
    </row>
    <row r="127" ht="15.0" hidden="1" customHeight="1" outlineLevel="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0" hidden="1" customHeight="1" outlineLevel="1">
      <c r="A128" s="110" t="s">
        <v>613</v>
      </c>
      <c r="B128" s="2"/>
      <c r="C128" s="112">
        <f>$D$86*(1+$E$86)^0</f>
        <v>300</v>
      </c>
      <c r="D128" s="112">
        <f>$D$86*(1+$E$86)^1</f>
        <v>319.2</v>
      </c>
      <c r="E128" s="112">
        <f>$D$86*(1+$E$86)^2</f>
        <v>339.6288</v>
      </c>
      <c r="F128" s="112">
        <f>$D$86*(1+$E$86)^3</f>
        <v>361.3650432</v>
      </c>
      <c r="G128" s="112">
        <f>$D$86*(1+$E$86)^4</f>
        <v>384.492406</v>
      </c>
      <c r="H128" s="112">
        <f>$D$86*(1+$E$86)^5</f>
        <v>409.0999199</v>
      </c>
      <c r="I128" s="112">
        <f>$D$86*(1+$E$86)^6</f>
        <v>435.2823148</v>
      </c>
      <c r="J128" s="112">
        <f>$D$86*(1+$E$86)^7</f>
        <v>463.140383</v>
      </c>
      <c r="K128" s="112">
        <f>$D$86*(1+$E$86)^8</f>
        <v>492.7813675</v>
      </c>
      <c r="L128" s="112">
        <f>$D$86*(1+$E$86)^9</f>
        <v>524.319375</v>
      </c>
      <c r="M128" s="112">
        <f>$D$86*(1+$E$86)^10</f>
        <v>557.875815</v>
      </c>
      <c r="N128" s="112">
        <f>$D$86*(1+$E$86)^11</f>
        <v>593.5798672</v>
      </c>
      <c r="O128" s="112">
        <f>$D$86*(1+$E$86)^12</f>
        <v>631.5689787</v>
      </c>
      <c r="P128" s="112">
        <f>$D$86*(1+$E$86)^13</f>
        <v>671.9893933</v>
      </c>
      <c r="Q128" s="112">
        <f>$D$86*(1+$E$86)^14</f>
        <v>714.9967145</v>
      </c>
      <c r="R128" s="112">
        <f>$D$86*(1+$E$86)^15</f>
        <v>760.7565042</v>
      </c>
      <c r="S128" s="112">
        <f>$D$86*(1+$E$86)^16</f>
        <v>809.4449205</v>
      </c>
      <c r="T128" s="112">
        <f>$D$86*(1+$E$86)^17</f>
        <v>861.2493954</v>
      </c>
      <c r="U128" s="112">
        <f>$D$86*(1+$E$86)^18</f>
        <v>916.3693567</v>
      </c>
      <c r="V128" s="112">
        <f>$D$86*(1+$E$86)^19</f>
        <v>975.0169955</v>
      </c>
      <c r="W128" s="112">
        <f>$D$86*(1+$E$86)^20</f>
        <v>1037.418083</v>
      </c>
      <c r="X128" s="112">
        <f>$D$86*(1+$E$86)^21</f>
        <v>1103.812841</v>
      </c>
      <c r="Y128" s="112">
        <f>$D$86*(1+$E$86)^22</f>
        <v>1174.456862</v>
      </c>
      <c r="Z128" s="112">
        <f>$D$86*(1+$E$86)^23</f>
        <v>1249.622102</v>
      </c>
    </row>
    <row r="129" ht="15.0" hidden="1" customHeight="1" outlineLevel="1">
      <c r="A129" s="110" t="s">
        <v>614</v>
      </c>
      <c r="B129" s="110">
        <v>0.0</v>
      </c>
      <c r="C129" s="112">
        <f t="shared" ref="C129:Z129" si="43">B129*(1-$F$86)+C128</f>
        <v>300</v>
      </c>
      <c r="D129" s="112">
        <f t="shared" si="43"/>
        <v>574.2</v>
      </c>
      <c r="E129" s="112">
        <f t="shared" si="43"/>
        <v>827.6988</v>
      </c>
      <c r="F129" s="112">
        <f t="shared" si="43"/>
        <v>1064.909023</v>
      </c>
      <c r="G129" s="112">
        <f t="shared" si="43"/>
        <v>1289.665076</v>
      </c>
      <c r="H129" s="112">
        <f t="shared" si="43"/>
        <v>1505.315234</v>
      </c>
      <c r="I129" s="112">
        <f t="shared" si="43"/>
        <v>1714.800264</v>
      </c>
      <c r="J129" s="112">
        <f t="shared" si="43"/>
        <v>1920.720607</v>
      </c>
      <c r="K129" s="112">
        <f t="shared" si="43"/>
        <v>2125.393884</v>
      </c>
      <c r="L129" s="112">
        <f t="shared" si="43"/>
        <v>2330.904176</v>
      </c>
      <c r="M129" s="112">
        <f t="shared" si="43"/>
        <v>2539.144365</v>
      </c>
      <c r="N129" s="112">
        <f t="shared" si="43"/>
        <v>2751.852577</v>
      </c>
      <c r="O129" s="112">
        <f t="shared" si="43"/>
        <v>2970.643669</v>
      </c>
      <c r="P129" s="112">
        <f t="shared" si="43"/>
        <v>3197.036512</v>
      </c>
      <c r="Q129" s="112">
        <f t="shared" si="43"/>
        <v>3432.47775</v>
      </c>
      <c r="R129" s="112">
        <f t="shared" si="43"/>
        <v>3678.362592</v>
      </c>
      <c r="S129" s="112">
        <f t="shared" si="43"/>
        <v>3936.053123</v>
      </c>
      <c r="T129" s="112">
        <f t="shared" si="43"/>
        <v>4206.89455</v>
      </c>
      <c r="U129" s="112">
        <f t="shared" si="43"/>
        <v>4492.229724</v>
      </c>
      <c r="V129" s="112">
        <f t="shared" si="43"/>
        <v>4793.412261</v>
      </c>
      <c r="W129" s="112">
        <f t="shared" si="43"/>
        <v>5111.818505</v>
      </c>
      <c r="X129" s="112">
        <f t="shared" si="43"/>
        <v>5448.85857</v>
      </c>
      <c r="Y129" s="112">
        <f t="shared" si="43"/>
        <v>5805.986647</v>
      </c>
      <c r="Z129" s="112">
        <f t="shared" si="43"/>
        <v>6184.710751</v>
      </c>
    </row>
    <row r="130" ht="15.0" hidden="1" customHeight="1" outlineLevel="1">
      <c r="A130" s="110" t="s">
        <v>615</v>
      </c>
      <c r="B130" s="111">
        <f>-$I$86</f>
        <v>-400000000</v>
      </c>
      <c r="C130" s="111">
        <f t="shared" ref="C130:Z130" si="44">C129*($B$86-$C$86)-C128*$G$86-$H$86</f>
        <v>-292559898</v>
      </c>
      <c r="D130" s="111">
        <f t="shared" si="44"/>
        <v>-271779644.7</v>
      </c>
      <c r="E130" s="111">
        <f t="shared" si="44"/>
        <v>-254443068.2</v>
      </c>
      <c r="F130" s="111">
        <f t="shared" si="44"/>
        <v>-240054521.9</v>
      </c>
      <c r="G130" s="111">
        <f t="shared" si="44"/>
        <v>-228194044</v>
      </c>
      <c r="H130" s="111">
        <f t="shared" si="44"/>
        <v>-218506090.7</v>
      </c>
      <c r="I130" s="111">
        <f t="shared" si="44"/>
        <v>-210689964.1</v>
      </c>
      <c r="J130" s="111">
        <f t="shared" si="44"/>
        <v>-204491682.9</v>
      </c>
      <c r="K130" s="111">
        <f t="shared" si="44"/>
        <v>-199697077.6</v>
      </c>
      <c r="L130" s="111">
        <f t="shared" si="44"/>
        <v>-196125928.4</v>
      </c>
      <c r="M130" s="111">
        <f t="shared" si="44"/>
        <v>-193626990.1</v>
      </c>
      <c r="N130" s="111">
        <f t="shared" si="44"/>
        <v>-192073769.3</v>
      </c>
      <c r="O130" s="111">
        <f t="shared" si="44"/>
        <v>-191360944.6</v>
      </c>
      <c r="P130" s="111">
        <f t="shared" si="44"/>
        <v>-191401331.1</v>
      </c>
      <c r="Q130" s="111">
        <f t="shared" si="44"/>
        <v>-192123309.4</v>
      </c>
      <c r="R130" s="111">
        <f t="shared" si="44"/>
        <v>-193468650.3</v>
      </c>
      <c r="S130" s="111">
        <f t="shared" si="44"/>
        <v>-195390675.7</v>
      </c>
      <c r="T130" s="111">
        <f t="shared" si="44"/>
        <v>-197852705.9</v>
      </c>
      <c r="U130" s="111">
        <f t="shared" si="44"/>
        <v>-200826752</v>
      </c>
      <c r="V130" s="111">
        <f t="shared" si="44"/>
        <v>-204292416.1</v>
      </c>
      <c r="W130" s="111">
        <f t="shared" si="44"/>
        <v>-208235970</v>
      </c>
      <c r="X130" s="111">
        <f t="shared" si="44"/>
        <v>-212649585.4</v>
      </c>
      <c r="Y130" s="111">
        <f t="shared" si="44"/>
        <v>-217530695.1</v>
      </c>
      <c r="Z130" s="111">
        <f t="shared" si="44"/>
        <v>-222881465.5</v>
      </c>
    </row>
    <row r="131" ht="15.0" hidden="1" customHeight="1" outlineLevel="1">
      <c r="A131" s="110" t="s">
        <v>616</v>
      </c>
      <c r="B131" s="111">
        <f>$J$86+B130</f>
        <v>1100000000</v>
      </c>
      <c r="C131" s="111">
        <f t="shared" ref="C131:Z131" si="45">B131+C130</f>
        <v>807440102</v>
      </c>
      <c r="D131" s="111">
        <f t="shared" si="45"/>
        <v>535660457.4</v>
      </c>
      <c r="E131" s="111">
        <f t="shared" si="45"/>
        <v>281217389.2</v>
      </c>
      <c r="F131" s="111">
        <f t="shared" si="45"/>
        <v>41162867.25</v>
      </c>
      <c r="G131" s="111">
        <f t="shared" si="45"/>
        <v>-187031176.8</v>
      </c>
      <c r="H131" s="111">
        <f t="shared" si="45"/>
        <v>-405537267.5</v>
      </c>
      <c r="I131" s="111">
        <f t="shared" si="45"/>
        <v>-616227231.6</v>
      </c>
      <c r="J131" s="111">
        <f t="shared" si="45"/>
        <v>-820718914.5</v>
      </c>
      <c r="K131" s="111">
        <f t="shared" si="45"/>
        <v>-1020415992</v>
      </c>
      <c r="L131" s="111">
        <f t="shared" si="45"/>
        <v>-1216541921</v>
      </c>
      <c r="M131" s="111">
        <f t="shared" si="45"/>
        <v>-1410168911</v>
      </c>
      <c r="N131" s="111">
        <f t="shared" si="45"/>
        <v>-1602242680</v>
      </c>
      <c r="O131" s="111">
        <f t="shared" si="45"/>
        <v>-1793603625</v>
      </c>
      <c r="P131" s="111">
        <f t="shared" si="45"/>
        <v>-1985004956</v>
      </c>
      <c r="Q131" s="111">
        <f t="shared" si="45"/>
        <v>-2177128265</v>
      </c>
      <c r="R131" s="111">
        <f t="shared" si="45"/>
        <v>-2370596915</v>
      </c>
      <c r="S131" s="111">
        <f t="shared" si="45"/>
        <v>-2565987591</v>
      </c>
      <c r="T131" s="111">
        <f t="shared" si="45"/>
        <v>-2763840297</v>
      </c>
      <c r="U131" s="111">
        <f t="shared" si="45"/>
        <v>-2964667049</v>
      </c>
      <c r="V131" s="111">
        <f t="shared" si="45"/>
        <v>-3168959465</v>
      </c>
      <c r="W131" s="111">
        <f t="shared" si="45"/>
        <v>-3377195435</v>
      </c>
      <c r="X131" s="111">
        <f t="shared" si="45"/>
        <v>-3589845020</v>
      </c>
      <c r="Y131" s="111">
        <f t="shared" si="45"/>
        <v>-3807375715</v>
      </c>
      <c r="Z131" s="111">
        <f t="shared" si="45"/>
        <v>-4030257181</v>
      </c>
    </row>
    <row r="132" ht="15.0" hidden="1" customHeight="1" outlineLevel="1">
      <c r="A132" s="110" t="s">
        <v>617</v>
      </c>
      <c r="B132" s="111">
        <f>B130</f>
        <v>-400000000</v>
      </c>
      <c r="C132" s="111">
        <f t="shared" ref="C132:Z132" si="46">B132+C130</f>
        <v>-692559898</v>
      </c>
      <c r="D132" s="111">
        <f t="shared" si="46"/>
        <v>-964339542.6</v>
      </c>
      <c r="E132" s="111">
        <f t="shared" si="46"/>
        <v>-1218782611</v>
      </c>
      <c r="F132" s="111">
        <f t="shared" si="46"/>
        <v>-1458837133</v>
      </c>
      <c r="G132" s="111">
        <f t="shared" si="46"/>
        <v>-1687031177</v>
      </c>
      <c r="H132" s="111">
        <f t="shared" si="46"/>
        <v>-1905537267</v>
      </c>
      <c r="I132" s="111">
        <f t="shared" si="46"/>
        <v>-2116227232</v>
      </c>
      <c r="J132" s="111">
        <f t="shared" si="46"/>
        <v>-2320718915</v>
      </c>
      <c r="K132" s="111">
        <f t="shared" si="46"/>
        <v>-2520415992</v>
      </c>
      <c r="L132" s="111">
        <f t="shared" si="46"/>
        <v>-2716541921</v>
      </c>
      <c r="M132" s="111">
        <f t="shared" si="46"/>
        <v>-2910168911</v>
      </c>
      <c r="N132" s="111">
        <f t="shared" si="46"/>
        <v>-3102242680</v>
      </c>
      <c r="O132" s="111">
        <f t="shared" si="46"/>
        <v>-3293603625</v>
      </c>
      <c r="P132" s="111">
        <f t="shared" si="46"/>
        <v>-3485004956</v>
      </c>
      <c r="Q132" s="111">
        <f t="shared" si="46"/>
        <v>-3677128265</v>
      </c>
      <c r="R132" s="111">
        <f t="shared" si="46"/>
        <v>-3870596915</v>
      </c>
      <c r="S132" s="111">
        <f t="shared" si="46"/>
        <v>-4065987591</v>
      </c>
      <c r="T132" s="111">
        <f t="shared" si="46"/>
        <v>-4263840297</v>
      </c>
      <c r="U132" s="111">
        <f t="shared" si="46"/>
        <v>-4464667049</v>
      </c>
      <c r="V132" s="111">
        <f t="shared" si="46"/>
        <v>-4668959465</v>
      </c>
      <c r="W132" s="111">
        <f t="shared" si="46"/>
        <v>-4877195435</v>
      </c>
      <c r="X132" s="111">
        <f t="shared" si="46"/>
        <v>-5089845020</v>
      </c>
      <c r="Y132" s="111">
        <f t="shared" si="46"/>
        <v>-5307375715</v>
      </c>
      <c r="Z132" s="111">
        <f t="shared" si="46"/>
        <v>-5530257181</v>
      </c>
    </row>
    <row r="133" ht="15.0" hidden="1" customHeight="1" outlineLevel="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0" hidden="1" customHeight="1" outlineLevel="1">
      <c r="A134" s="110" t="s">
        <v>618</v>
      </c>
      <c r="B134" s="2"/>
      <c r="C134" s="112">
        <f>$D$87*(1+$E$87)^0</f>
        <v>300</v>
      </c>
      <c r="D134" s="112">
        <f>$D$87*(1+$E$87)^1</f>
        <v>324</v>
      </c>
      <c r="E134" s="112">
        <f>$D$87*(1+$E$87)^2</f>
        <v>349.92</v>
      </c>
      <c r="F134" s="112">
        <f>$D$87*(1+$E$87)^3</f>
        <v>377.9136</v>
      </c>
      <c r="G134" s="112">
        <f>$D$87*(1+$E$87)^4</f>
        <v>408.146688</v>
      </c>
      <c r="H134" s="112">
        <f>$D$87*(1+$E$87)^5</f>
        <v>440.798423</v>
      </c>
      <c r="I134" s="112">
        <f>$D$87*(1+$E$87)^6</f>
        <v>476.0622969</v>
      </c>
      <c r="J134" s="112">
        <f>$D$87*(1+$E$87)^7</f>
        <v>514.1472806</v>
      </c>
      <c r="K134" s="112">
        <f>$D$87*(1+$E$87)^8</f>
        <v>555.2790631</v>
      </c>
      <c r="L134" s="112">
        <f>$D$87*(1+$E$87)^9</f>
        <v>599.7013881</v>
      </c>
      <c r="M134" s="112">
        <f>$D$87*(1+$E$87)^10</f>
        <v>647.6774992</v>
      </c>
      <c r="N134" s="112">
        <f>$D$87*(1+$E$87)^11</f>
        <v>699.4916991</v>
      </c>
      <c r="O134" s="112">
        <f>$D$87*(1+$E$87)^12</f>
        <v>755.451035</v>
      </c>
      <c r="P134" s="112">
        <f>$D$87*(1+$E$87)^13</f>
        <v>815.8871178</v>
      </c>
      <c r="Q134" s="112">
        <f>$D$87*(1+$E$87)^14</f>
        <v>881.1580873</v>
      </c>
      <c r="R134" s="112">
        <f>$D$87*(1+$E$87)^15</f>
        <v>951.6507343</v>
      </c>
      <c r="S134" s="112">
        <f>$D$87*(1+$E$87)^16</f>
        <v>1027.782793</v>
      </c>
      <c r="T134" s="112">
        <f>$D$87*(1+$E$87)^17</f>
        <v>1110.005416</v>
      </c>
      <c r="U134" s="112">
        <f>$D$87*(1+$E$87)^18</f>
        <v>1198.80585</v>
      </c>
      <c r="V134" s="112">
        <f>$D$87*(1+$E$87)^19</f>
        <v>1294.710318</v>
      </c>
      <c r="W134" s="112">
        <f>$D$87*(1+$E$87)^20</f>
        <v>1398.287143</v>
      </c>
      <c r="X134" s="112">
        <f>$D$87*(1+$E$87)^21</f>
        <v>1510.150115</v>
      </c>
      <c r="Y134" s="112">
        <f>$D$87*(1+$E$87)^22</f>
        <v>1630.962124</v>
      </c>
      <c r="Z134" s="112">
        <f>$D$87*(1+$E$87)^23</f>
        <v>1761.439094</v>
      </c>
    </row>
    <row r="135" ht="15.0" hidden="1" customHeight="1" outlineLevel="1">
      <c r="A135" s="110" t="s">
        <v>619</v>
      </c>
      <c r="B135" s="110">
        <v>0.0</v>
      </c>
      <c r="C135" s="112">
        <f t="shared" ref="C135:Z135" si="47">B135*(1-$F$87)+C134</f>
        <v>300</v>
      </c>
      <c r="D135" s="112">
        <f t="shared" si="47"/>
        <v>579</v>
      </c>
      <c r="E135" s="112">
        <f t="shared" si="47"/>
        <v>842.07</v>
      </c>
      <c r="F135" s="112">
        <f t="shared" si="47"/>
        <v>1093.6731</v>
      </c>
      <c r="G135" s="112">
        <f t="shared" si="47"/>
        <v>1337.768823</v>
      </c>
      <c r="H135" s="112">
        <f t="shared" si="47"/>
        <v>1577.901923</v>
      </c>
      <c r="I135" s="112">
        <f t="shared" si="47"/>
        <v>1817.278931</v>
      </c>
      <c r="J135" s="112">
        <f t="shared" si="47"/>
        <v>2058.834372</v>
      </c>
      <c r="K135" s="112">
        <f t="shared" si="47"/>
        <v>2305.288279</v>
      </c>
      <c r="L135" s="112">
        <f t="shared" si="47"/>
        <v>2559.196426</v>
      </c>
      <c r="M135" s="112">
        <f t="shared" si="47"/>
        <v>2822.994461</v>
      </c>
      <c r="N135" s="112">
        <f t="shared" si="47"/>
        <v>3099.036991</v>
      </c>
      <c r="O135" s="112">
        <f t="shared" si="47"/>
        <v>3389.632477</v>
      </c>
      <c r="P135" s="112">
        <f t="shared" si="47"/>
        <v>3697.074724</v>
      </c>
      <c r="Q135" s="112">
        <f t="shared" si="47"/>
        <v>4023.671602</v>
      </c>
      <c r="R135" s="112">
        <f t="shared" si="47"/>
        <v>4371.771596</v>
      </c>
      <c r="S135" s="112">
        <f t="shared" si="47"/>
        <v>4743.78865</v>
      </c>
      <c r="T135" s="112">
        <f t="shared" si="47"/>
        <v>5142.225769</v>
      </c>
      <c r="U135" s="112">
        <f t="shared" si="47"/>
        <v>5569.697753</v>
      </c>
      <c r="V135" s="112">
        <f t="shared" si="47"/>
        <v>6028.953408</v>
      </c>
      <c r="W135" s="112">
        <f t="shared" si="47"/>
        <v>6522.89754</v>
      </c>
      <c r="X135" s="112">
        <f t="shared" si="47"/>
        <v>7054.613024</v>
      </c>
      <c r="Y135" s="112">
        <f t="shared" si="47"/>
        <v>7627.383194</v>
      </c>
      <c r="Z135" s="112">
        <f t="shared" si="47"/>
        <v>8244.714808</v>
      </c>
    </row>
    <row r="136" ht="15.0" hidden="1" customHeight="1" outlineLevel="1">
      <c r="A136" s="110" t="s">
        <v>620</v>
      </c>
      <c r="B136" s="111">
        <f>-$I$87</f>
        <v>-400000000</v>
      </c>
      <c r="C136" s="111">
        <f t="shared" ref="C136:Z136" si="48">C135*($B$87-$C$87)-C134*$G$87-$H$87</f>
        <v>-316559898</v>
      </c>
      <c r="D136" s="111">
        <f t="shared" si="48"/>
        <v>-298540603</v>
      </c>
      <c r="E136" s="111">
        <f t="shared" si="48"/>
        <v>-283853377.6</v>
      </c>
      <c r="F136" s="111">
        <f t="shared" si="48"/>
        <v>-272048745.1</v>
      </c>
      <c r="G136" s="111">
        <f t="shared" si="48"/>
        <v>-262748677.4</v>
      </c>
      <c r="H136" s="111">
        <f t="shared" si="48"/>
        <v>-255636199.4</v>
      </c>
      <c r="I136" s="111">
        <f t="shared" si="48"/>
        <v>-250446579.1</v>
      </c>
      <c r="J136" s="111">
        <f t="shared" si="48"/>
        <v>-246959866.5</v>
      </c>
      <c r="K136" s="111">
        <f t="shared" si="48"/>
        <v>-244994582.7</v>
      </c>
      <c r="L136" s="111">
        <f t="shared" si="48"/>
        <v>-244402387.2</v>
      </c>
      <c r="M136" s="111">
        <f t="shared" si="48"/>
        <v>-245063580.4</v>
      </c>
      <c r="N136" s="111">
        <f t="shared" si="48"/>
        <v>-246883318.7</v>
      </c>
      <c r="O136" s="111">
        <f t="shared" si="48"/>
        <v>-249788438.3</v>
      </c>
      <c r="P136" s="111">
        <f t="shared" si="48"/>
        <v>-253724799.4</v>
      </c>
      <c r="Q136" s="111">
        <f t="shared" si="48"/>
        <v>-258655076.4</v>
      </c>
      <c r="R136" s="111">
        <f t="shared" si="48"/>
        <v>-264556931.7</v>
      </c>
      <c r="S136" s="111">
        <f t="shared" si="48"/>
        <v>-271421518</v>
      </c>
      <c r="T136" s="111">
        <f t="shared" si="48"/>
        <v>-279252266.4</v>
      </c>
      <c r="U136" s="111">
        <f t="shared" si="48"/>
        <v>-288063920.6</v>
      </c>
      <c r="V136" s="111">
        <f t="shared" si="48"/>
        <v>-297881786.3</v>
      </c>
      <c r="W136" s="111">
        <f t="shared" si="48"/>
        <v>-308741168.4</v>
      </c>
      <c r="X136" s="111">
        <f t="shared" si="48"/>
        <v>-320686975.2</v>
      </c>
      <c r="Y136" s="111">
        <f t="shared" si="48"/>
        <v>-333773469.5</v>
      </c>
      <c r="Z136" s="111">
        <f t="shared" si="48"/>
        <v>-348064153</v>
      </c>
    </row>
    <row r="137" ht="15.0" hidden="1" customHeight="1" outlineLevel="1">
      <c r="A137" s="110" t="s">
        <v>621</v>
      </c>
      <c r="B137" s="111">
        <f>$J$87+B136</f>
        <v>1100000000</v>
      </c>
      <c r="C137" s="111">
        <f t="shared" ref="C137:Z137" si="49">B137+C136</f>
        <v>783440102</v>
      </c>
      <c r="D137" s="111">
        <f t="shared" si="49"/>
        <v>484899499</v>
      </c>
      <c r="E137" s="111">
        <f t="shared" si="49"/>
        <v>201046121.4</v>
      </c>
      <c r="F137" s="111">
        <f t="shared" si="49"/>
        <v>-71002623.66</v>
      </c>
      <c r="G137" s="111">
        <f t="shared" si="49"/>
        <v>-333751301.1</v>
      </c>
      <c r="H137" s="111">
        <f t="shared" si="49"/>
        <v>-589387500.5</v>
      </c>
      <c r="I137" s="111">
        <f t="shared" si="49"/>
        <v>-839834079.6</v>
      </c>
      <c r="J137" s="111">
        <f t="shared" si="49"/>
        <v>-1086793946</v>
      </c>
      <c r="K137" s="111">
        <f t="shared" si="49"/>
        <v>-1331788529</v>
      </c>
      <c r="L137" s="111">
        <f t="shared" si="49"/>
        <v>-1576190916</v>
      </c>
      <c r="M137" s="111">
        <f t="shared" si="49"/>
        <v>-1821254496</v>
      </c>
      <c r="N137" s="111">
        <f t="shared" si="49"/>
        <v>-2068137815</v>
      </c>
      <c r="O137" s="111">
        <f t="shared" si="49"/>
        <v>-2317926254</v>
      </c>
      <c r="P137" s="111">
        <f t="shared" si="49"/>
        <v>-2571651053</v>
      </c>
      <c r="Q137" s="111">
        <f t="shared" si="49"/>
        <v>-2830306129</v>
      </c>
      <c r="R137" s="111">
        <f t="shared" si="49"/>
        <v>-3094863061</v>
      </c>
      <c r="S137" s="111">
        <f t="shared" si="49"/>
        <v>-3366284579</v>
      </c>
      <c r="T137" s="111">
        <f t="shared" si="49"/>
        <v>-3645536845</v>
      </c>
      <c r="U137" s="111">
        <f t="shared" si="49"/>
        <v>-3933600766</v>
      </c>
      <c r="V137" s="111">
        <f t="shared" si="49"/>
        <v>-4231482552</v>
      </c>
      <c r="W137" s="111">
        <f t="shared" si="49"/>
        <v>-4540223721</v>
      </c>
      <c r="X137" s="111">
        <f t="shared" si="49"/>
        <v>-4860910696</v>
      </c>
      <c r="Y137" s="111">
        <f t="shared" si="49"/>
        <v>-5194684165</v>
      </c>
      <c r="Z137" s="111">
        <f t="shared" si="49"/>
        <v>-5542748318</v>
      </c>
    </row>
    <row r="138" ht="15.0" hidden="1" customHeight="1" outlineLevel="1">
      <c r="A138" s="110" t="s">
        <v>622</v>
      </c>
      <c r="B138" s="111">
        <f>B136</f>
        <v>-400000000</v>
      </c>
      <c r="C138" s="111">
        <f t="shared" ref="C138:Z138" si="50">B138+C136</f>
        <v>-716559898</v>
      </c>
      <c r="D138" s="111">
        <f t="shared" si="50"/>
        <v>-1015100501</v>
      </c>
      <c r="E138" s="111">
        <f t="shared" si="50"/>
        <v>-1298953879</v>
      </c>
      <c r="F138" s="111">
        <f t="shared" si="50"/>
        <v>-1571002624</v>
      </c>
      <c r="G138" s="111">
        <f t="shared" si="50"/>
        <v>-1833751301</v>
      </c>
      <c r="H138" s="111">
        <f t="shared" si="50"/>
        <v>-2089387501</v>
      </c>
      <c r="I138" s="111">
        <f t="shared" si="50"/>
        <v>-2339834080</v>
      </c>
      <c r="J138" s="111">
        <f t="shared" si="50"/>
        <v>-2586793946</v>
      </c>
      <c r="K138" s="111">
        <f t="shared" si="50"/>
        <v>-2831788529</v>
      </c>
      <c r="L138" s="111">
        <f t="shared" si="50"/>
        <v>-3076190916</v>
      </c>
      <c r="M138" s="111">
        <f t="shared" si="50"/>
        <v>-3321254496</v>
      </c>
      <c r="N138" s="111">
        <f t="shared" si="50"/>
        <v>-3568137815</v>
      </c>
      <c r="O138" s="111">
        <f t="shared" si="50"/>
        <v>-3817926254</v>
      </c>
      <c r="P138" s="111">
        <f t="shared" si="50"/>
        <v>-4071651053</v>
      </c>
      <c r="Q138" s="111">
        <f t="shared" si="50"/>
        <v>-4330306129</v>
      </c>
      <c r="R138" s="111">
        <f t="shared" si="50"/>
        <v>-4594863061</v>
      </c>
      <c r="S138" s="111">
        <f t="shared" si="50"/>
        <v>-4866284579</v>
      </c>
      <c r="T138" s="111">
        <f t="shared" si="50"/>
        <v>-5145536845</v>
      </c>
      <c r="U138" s="111">
        <f t="shared" si="50"/>
        <v>-5433600766</v>
      </c>
      <c r="V138" s="111">
        <f t="shared" si="50"/>
        <v>-5731482552</v>
      </c>
      <c r="W138" s="111">
        <f t="shared" si="50"/>
        <v>-6040223721</v>
      </c>
      <c r="X138" s="111">
        <f t="shared" si="50"/>
        <v>-6360910696</v>
      </c>
      <c r="Y138" s="111">
        <f t="shared" si="50"/>
        <v>-6694684165</v>
      </c>
      <c r="Z138" s="111">
        <f t="shared" si="50"/>
        <v>-7042748318</v>
      </c>
    </row>
    <row r="139" ht="15.0" hidden="1" customHeight="1" outlineLevel="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0" hidden="1" customHeight="1" outlineLevel="1">
      <c r="A140" s="110" t="s">
        <v>623</v>
      </c>
      <c r="B140" s="2"/>
      <c r="C140" s="112">
        <f>$D$88*(1+$E$88)^0</f>
        <v>300</v>
      </c>
      <c r="D140" s="112">
        <f>$D$88*(1+$E$88)^1</f>
        <v>324</v>
      </c>
      <c r="E140" s="112">
        <f>$D$88*(1+$E$88)^2</f>
        <v>349.92</v>
      </c>
      <c r="F140" s="112">
        <f>$D$88*(1+$E$88)^3</f>
        <v>377.9136</v>
      </c>
      <c r="G140" s="112">
        <f>$D$88*(1+$E$88)^4</f>
        <v>408.146688</v>
      </c>
      <c r="H140" s="112">
        <f>$D$88*(1+$E$88)^5</f>
        <v>440.798423</v>
      </c>
      <c r="I140" s="112">
        <f>$D$88*(1+$E$88)^6</f>
        <v>476.0622969</v>
      </c>
      <c r="J140" s="112">
        <f>$D$88*(1+$E$88)^7</f>
        <v>514.1472806</v>
      </c>
      <c r="K140" s="112">
        <f>$D$88*(1+$E$88)^8</f>
        <v>555.2790631</v>
      </c>
      <c r="L140" s="112">
        <f>$D$88*(1+$E$88)^9</f>
        <v>599.7013881</v>
      </c>
      <c r="M140" s="112">
        <f>$D$88*(1+$E$88)^10</f>
        <v>647.6774992</v>
      </c>
      <c r="N140" s="112">
        <f>$D$88*(1+$E$88)^11</f>
        <v>699.4916991</v>
      </c>
      <c r="O140" s="112">
        <f>$D$88*(1+$E$88)^12</f>
        <v>755.451035</v>
      </c>
      <c r="P140" s="112">
        <f>$D$88*(1+$E$88)^13</f>
        <v>815.8871178</v>
      </c>
      <c r="Q140" s="112">
        <f>$D$88*(1+$E$88)^14</f>
        <v>881.1580873</v>
      </c>
      <c r="R140" s="112">
        <f>$D$88*(1+$E$88)^15</f>
        <v>951.6507343</v>
      </c>
      <c r="S140" s="112">
        <f>$D$88*(1+$E$88)^16</f>
        <v>1027.782793</v>
      </c>
      <c r="T140" s="112">
        <f>$D$88*(1+$E$88)^17</f>
        <v>1110.005416</v>
      </c>
      <c r="U140" s="112">
        <f>$D$88*(1+$E$88)^18</f>
        <v>1198.80585</v>
      </c>
      <c r="V140" s="112">
        <f>$D$88*(1+$E$88)^19</f>
        <v>1294.710318</v>
      </c>
      <c r="W140" s="112">
        <f>$D$88*(1+$E$88)^20</f>
        <v>1398.287143</v>
      </c>
      <c r="X140" s="112">
        <f>$D$88*(1+$E$88)^21</f>
        <v>1510.150115</v>
      </c>
      <c r="Y140" s="112">
        <f>$D$88*(1+$E$88)^22</f>
        <v>1630.962124</v>
      </c>
      <c r="Z140" s="112">
        <f>$D$88*(1+$E$88)^23</f>
        <v>1761.439094</v>
      </c>
    </row>
    <row r="141" ht="15.0" hidden="1" customHeight="1" outlineLevel="1">
      <c r="A141" s="110" t="s">
        <v>624</v>
      </c>
      <c r="B141" s="110">
        <v>0.0</v>
      </c>
      <c r="C141" s="112">
        <f t="shared" ref="C141:Z141" si="51">B141*(1-$F$88)+C140</f>
        <v>300</v>
      </c>
      <c r="D141" s="112">
        <f t="shared" si="51"/>
        <v>579</v>
      </c>
      <c r="E141" s="112">
        <f t="shared" si="51"/>
        <v>842.07</v>
      </c>
      <c r="F141" s="112">
        <f t="shared" si="51"/>
        <v>1093.6731</v>
      </c>
      <c r="G141" s="112">
        <f t="shared" si="51"/>
        <v>1337.768823</v>
      </c>
      <c r="H141" s="112">
        <f t="shared" si="51"/>
        <v>1577.901923</v>
      </c>
      <c r="I141" s="112">
        <f t="shared" si="51"/>
        <v>1817.278931</v>
      </c>
      <c r="J141" s="112">
        <f t="shared" si="51"/>
        <v>2058.834372</v>
      </c>
      <c r="K141" s="112">
        <f t="shared" si="51"/>
        <v>2305.288279</v>
      </c>
      <c r="L141" s="112">
        <f t="shared" si="51"/>
        <v>2559.196426</v>
      </c>
      <c r="M141" s="112">
        <f t="shared" si="51"/>
        <v>2822.994461</v>
      </c>
      <c r="N141" s="112">
        <f t="shared" si="51"/>
        <v>3099.036991</v>
      </c>
      <c r="O141" s="112">
        <f t="shared" si="51"/>
        <v>3389.632477</v>
      </c>
      <c r="P141" s="112">
        <f t="shared" si="51"/>
        <v>3697.074724</v>
      </c>
      <c r="Q141" s="112">
        <f t="shared" si="51"/>
        <v>4023.671602</v>
      </c>
      <c r="R141" s="112">
        <f t="shared" si="51"/>
        <v>4371.771596</v>
      </c>
      <c r="S141" s="112">
        <f t="shared" si="51"/>
        <v>4743.78865</v>
      </c>
      <c r="T141" s="112">
        <f t="shared" si="51"/>
        <v>5142.225769</v>
      </c>
      <c r="U141" s="112">
        <f t="shared" si="51"/>
        <v>5569.697753</v>
      </c>
      <c r="V141" s="112">
        <f t="shared" si="51"/>
        <v>6028.953408</v>
      </c>
      <c r="W141" s="112">
        <f t="shared" si="51"/>
        <v>6522.89754</v>
      </c>
      <c r="X141" s="112">
        <f t="shared" si="51"/>
        <v>7054.613024</v>
      </c>
      <c r="Y141" s="112">
        <f t="shared" si="51"/>
        <v>7627.383194</v>
      </c>
      <c r="Z141" s="112">
        <f t="shared" si="51"/>
        <v>8244.714808</v>
      </c>
    </row>
    <row r="142" ht="15.0" hidden="1" customHeight="1" outlineLevel="1">
      <c r="A142" s="110" t="s">
        <v>625</v>
      </c>
      <c r="B142" s="111">
        <f>-$I$88</f>
        <v>-400000000</v>
      </c>
      <c r="C142" s="111">
        <f t="shared" ref="C142:Z142" si="52">C141*($B$88-$C$88)-C140*$G$88-$H$88</f>
        <v>-302176552.3</v>
      </c>
      <c r="D142" s="111">
        <f t="shared" si="52"/>
        <v>-293100746</v>
      </c>
      <c r="E142" s="111">
        <f t="shared" si="52"/>
        <v>-286846364.7</v>
      </c>
      <c r="F142" s="111">
        <f t="shared" si="52"/>
        <v>-283106999.1</v>
      </c>
      <c r="G142" s="111">
        <f t="shared" si="52"/>
        <v>-281631545.4</v>
      </c>
      <c r="H142" s="111">
        <f t="shared" si="52"/>
        <v>-282216657.5</v>
      </c>
      <c r="I142" s="111">
        <f t="shared" si="52"/>
        <v>-284700390.3</v>
      </c>
      <c r="J142" s="111">
        <f t="shared" si="52"/>
        <v>-288956861.7</v>
      </c>
      <c r="K142" s="111">
        <f t="shared" si="52"/>
        <v>-294891784.7</v>
      </c>
      <c r="L142" s="111">
        <f t="shared" si="52"/>
        <v>-302438745.5</v>
      </c>
      <c r="M142" s="111">
        <f t="shared" si="52"/>
        <v>-311556120.5</v>
      </c>
      <c r="N142" s="111">
        <f t="shared" si="52"/>
        <v>-322224544.1</v>
      </c>
      <c r="O142" s="111">
        <f t="shared" si="52"/>
        <v>-334444851.6</v>
      </c>
      <c r="P142" s="111">
        <f t="shared" si="52"/>
        <v>-348236432</v>
      </c>
      <c r="Q142" s="111">
        <f t="shared" si="52"/>
        <v>-363635940.1</v>
      </c>
      <c r="R142" s="111">
        <f t="shared" si="52"/>
        <v>-380696319.7</v>
      </c>
      <c r="S142" s="111">
        <f t="shared" si="52"/>
        <v>-399486104.1</v>
      </c>
      <c r="T142" s="111">
        <f t="shared" si="52"/>
        <v>-420088959.4</v>
      </c>
      <c r="U142" s="111">
        <f t="shared" si="52"/>
        <v>-442603448.1</v>
      </c>
      <c r="V142" s="111">
        <f t="shared" si="52"/>
        <v>-467142990</v>
      </c>
      <c r="W142" s="111">
        <f t="shared" si="52"/>
        <v>-493836005.5</v>
      </c>
      <c r="X142" s="111">
        <f t="shared" si="52"/>
        <v>-522826225.7</v>
      </c>
      <c r="Y142" s="111">
        <f t="shared" si="52"/>
        <v>-554273162.6</v>
      </c>
      <c r="Z142" s="111">
        <f t="shared" si="52"/>
        <v>-588352728.5</v>
      </c>
    </row>
    <row r="143" ht="15.0" hidden="1" customHeight="1" outlineLevel="1">
      <c r="A143" s="110" t="s">
        <v>626</v>
      </c>
      <c r="B143" s="111">
        <f>$J$88+B142</f>
        <v>1100000000</v>
      </c>
      <c r="C143" s="111">
        <f t="shared" ref="C143:Z143" si="53">B143+C142</f>
        <v>797823447.7</v>
      </c>
      <c r="D143" s="111">
        <f t="shared" si="53"/>
        <v>504722701.7</v>
      </c>
      <c r="E143" s="111">
        <f t="shared" si="53"/>
        <v>217876337</v>
      </c>
      <c r="F143" s="111">
        <f t="shared" si="53"/>
        <v>-65230662.08</v>
      </c>
      <c r="G143" s="111">
        <f t="shared" si="53"/>
        <v>-346862207.5</v>
      </c>
      <c r="H143" s="111">
        <f t="shared" si="53"/>
        <v>-629078865</v>
      </c>
      <c r="I143" s="111">
        <f t="shared" si="53"/>
        <v>-913779255.3</v>
      </c>
      <c r="J143" s="111">
        <f t="shared" si="53"/>
        <v>-1202736117</v>
      </c>
      <c r="K143" s="111">
        <f t="shared" si="53"/>
        <v>-1497627902</v>
      </c>
      <c r="L143" s="111">
        <f t="shared" si="53"/>
        <v>-1800066647</v>
      </c>
      <c r="M143" s="111">
        <f t="shared" si="53"/>
        <v>-2111622768</v>
      </c>
      <c r="N143" s="111">
        <f t="shared" si="53"/>
        <v>-2433847312</v>
      </c>
      <c r="O143" s="111">
        <f t="shared" si="53"/>
        <v>-2768292163</v>
      </c>
      <c r="P143" s="111">
        <f t="shared" si="53"/>
        <v>-3116528595</v>
      </c>
      <c r="Q143" s="111">
        <f t="shared" si="53"/>
        <v>-3480164536</v>
      </c>
      <c r="R143" s="111">
        <f t="shared" si="53"/>
        <v>-3860860855</v>
      </c>
      <c r="S143" s="111">
        <f t="shared" si="53"/>
        <v>-4260346959</v>
      </c>
      <c r="T143" s="111">
        <f t="shared" si="53"/>
        <v>-4680435919</v>
      </c>
      <c r="U143" s="111">
        <f t="shared" si="53"/>
        <v>-5123039367</v>
      </c>
      <c r="V143" s="111">
        <f t="shared" si="53"/>
        <v>-5590182357</v>
      </c>
      <c r="W143" s="111">
        <f t="shared" si="53"/>
        <v>-6084018362</v>
      </c>
      <c r="X143" s="111">
        <f t="shared" si="53"/>
        <v>-6606844588</v>
      </c>
      <c r="Y143" s="111">
        <f t="shared" si="53"/>
        <v>-7161117751</v>
      </c>
      <c r="Z143" s="111">
        <f t="shared" si="53"/>
        <v>-7749470479</v>
      </c>
    </row>
    <row r="144" ht="15.0" hidden="1" customHeight="1" outlineLevel="1">
      <c r="A144" s="110" t="s">
        <v>627</v>
      </c>
      <c r="B144" s="111">
        <f>B142</f>
        <v>-400000000</v>
      </c>
      <c r="C144" s="111">
        <f t="shared" ref="C144:Z144" si="54">B144+C142</f>
        <v>-702176552.3</v>
      </c>
      <c r="D144" s="111">
        <f t="shared" si="54"/>
        <v>-995277298.3</v>
      </c>
      <c r="E144" s="111">
        <f t="shared" si="54"/>
        <v>-1282123663</v>
      </c>
      <c r="F144" s="111">
        <f t="shared" si="54"/>
        <v>-1565230662</v>
      </c>
      <c r="G144" s="111">
        <f t="shared" si="54"/>
        <v>-1846862207</v>
      </c>
      <c r="H144" s="111">
        <f t="shared" si="54"/>
        <v>-2129078865</v>
      </c>
      <c r="I144" s="111">
        <f t="shared" si="54"/>
        <v>-2413779255</v>
      </c>
      <c r="J144" s="111">
        <f t="shared" si="54"/>
        <v>-2702736117</v>
      </c>
      <c r="K144" s="111">
        <f t="shared" si="54"/>
        <v>-2997627902</v>
      </c>
      <c r="L144" s="111">
        <f t="shared" si="54"/>
        <v>-3300066647</v>
      </c>
      <c r="M144" s="111">
        <f t="shared" si="54"/>
        <v>-3611622768</v>
      </c>
      <c r="N144" s="111">
        <f t="shared" si="54"/>
        <v>-3933847312</v>
      </c>
      <c r="O144" s="111">
        <f t="shared" si="54"/>
        <v>-4268292163</v>
      </c>
      <c r="P144" s="111">
        <f t="shared" si="54"/>
        <v>-4616528595</v>
      </c>
      <c r="Q144" s="111">
        <f t="shared" si="54"/>
        <v>-4980164536</v>
      </c>
      <c r="R144" s="111">
        <f t="shared" si="54"/>
        <v>-5360860855</v>
      </c>
      <c r="S144" s="111">
        <f t="shared" si="54"/>
        <v>-5760346959</v>
      </c>
      <c r="T144" s="111">
        <f t="shared" si="54"/>
        <v>-6180435919</v>
      </c>
      <c r="U144" s="111">
        <f t="shared" si="54"/>
        <v>-6623039367</v>
      </c>
      <c r="V144" s="111">
        <f t="shared" si="54"/>
        <v>-7090182357</v>
      </c>
      <c r="W144" s="111">
        <f t="shared" si="54"/>
        <v>-7584018362</v>
      </c>
      <c r="X144" s="111">
        <f t="shared" si="54"/>
        <v>-8106844588</v>
      </c>
      <c r="Y144" s="111">
        <f t="shared" si="54"/>
        <v>-8661117751</v>
      </c>
      <c r="Z144" s="111">
        <f t="shared" si="54"/>
        <v>-9249470479</v>
      </c>
    </row>
    <row r="145" ht="15.0" hidden="1" customHeight="1" outlineLevel="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7">
    <mergeCell ref="E71:H71"/>
    <mergeCell ref="E72:H72"/>
    <mergeCell ref="E73:H73"/>
    <mergeCell ref="E74:H74"/>
    <mergeCell ref="E75:H75"/>
    <mergeCell ref="E76:H76"/>
    <mergeCell ref="E77:H77"/>
  </mergeCells>
  <conditionalFormatting sqref="A58:H64">
    <cfRule type="expression" dxfId="0" priority="1">
      <formula>$H58=1</formula>
    </cfRule>
  </conditionalFormatting>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8.0"/>
    <col customWidth="1" min="2" max="4" width="18.0"/>
    <col customWidth="1" min="5" max="5" width="15.0"/>
    <col customWidth="1" min="6" max="6" width="40.0"/>
    <col customWidth="1" min="7" max="7" width="52.0"/>
    <col customWidth="1" min="8" max="26" width="8.71"/>
  </cols>
  <sheetData>
    <row r="1" ht="17.25" customHeight="1">
      <c r="A1" s="1" t="s">
        <v>360</v>
      </c>
      <c r="B1" s="2"/>
      <c r="C1" s="2"/>
      <c r="D1" s="2"/>
      <c r="E1" s="2"/>
      <c r="F1" s="2"/>
      <c r="G1" s="2"/>
    </row>
    <row r="2" ht="15.0" customHeight="1">
      <c r="A2" s="5" t="s">
        <v>361</v>
      </c>
      <c r="B2" s="2"/>
      <c r="C2" s="2"/>
      <c r="D2" s="2"/>
      <c r="E2" s="2"/>
      <c r="F2" s="2"/>
      <c r="G2" s="2"/>
    </row>
    <row r="3" ht="15.0" customHeight="1">
      <c r="A3" s="81" t="s">
        <v>362</v>
      </c>
      <c r="B3" s="2"/>
      <c r="C3" s="2"/>
      <c r="D3" s="2"/>
      <c r="E3" s="2"/>
      <c r="F3" s="2"/>
      <c r="G3" s="2"/>
    </row>
    <row r="4" ht="15.0" customHeight="1">
      <c r="A4" s="11" t="s">
        <v>261</v>
      </c>
      <c r="B4" s="11" t="s">
        <v>262</v>
      </c>
      <c r="C4" s="11" t="s">
        <v>263</v>
      </c>
      <c r="D4" s="11" t="s">
        <v>264</v>
      </c>
      <c r="E4" s="11" t="s">
        <v>69</v>
      </c>
      <c r="F4" s="11" t="s">
        <v>71</v>
      </c>
      <c r="G4" s="11" t="s">
        <v>265</v>
      </c>
    </row>
    <row r="5" ht="15.75" customHeight="1">
      <c r="A5" s="16" t="s">
        <v>363</v>
      </c>
      <c r="B5" s="82"/>
      <c r="C5" s="82"/>
      <c r="D5" s="82"/>
      <c r="E5" s="22" t="s">
        <v>364</v>
      </c>
      <c r="F5" s="75"/>
      <c r="G5" s="24" t="s">
        <v>365</v>
      </c>
    </row>
    <row r="6" ht="31.5" customHeight="1">
      <c r="A6" s="18" t="s">
        <v>366</v>
      </c>
      <c r="B6" s="82"/>
      <c r="C6" s="82"/>
      <c r="D6" s="82"/>
      <c r="E6" s="22" t="s">
        <v>367</v>
      </c>
      <c r="F6" s="75"/>
      <c r="G6" s="24" t="s">
        <v>368</v>
      </c>
    </row>
    <row r="7" ht="30.0" customHeight="1">
      <c r="A7" s="16" t="s">
        <v>369</v>
      </c>
      <c r="B7" s="72"/>
      <c r="C7" s="72"/>
      <c r="D7" s="72"/>
      <c r="E7" s="22" t="s">
        <v>119</v>
      </c>
      <c r="F7" s="75"/>
      <c r="G7" s="24" t="s">
        <v>370</v>
      </c>
    </row>
    <row r="8" ht="15.75" customHeight="1">
      <c r="A8" s="16" t="s">
        <v>371</v>
      </c>
      <c r="B8" s="73"/>
      <c r="C8" s="73"/>
      <c r="D8" s="73"/>
      <c r="E8" s="22" t="s">
        <v>131</v>
      </c>
      <c r="F8" s="75"/>
      <c r="G8" s="24" t="s">
        <v>372</v>
      </c>
    </row>
    <row r="9" ht="15.75" customHeight="1">
      <c r="A9" s="16" t="s">
        <v>373</v>
      </c>
      <c r="B9" s="73"/>
      <c r="C9" s="73"/>
      <c r="D9" s="73"/>
      <c r="E9" s="22" t="s">
        <v>213</v>
      </c>
      <c r="F9" s="75"/>
      <c r="G9" s="24" t="s">
        <v>374</v>
      </c>
    </row>
    <row r="10" ht="15.75" customHeight="1">
      <c r="A10" s="16" t="s">
        <v>375</v>
      </c>
      <c r="B10" s="73"/>
      <c r="C10" s="73"/>
      <c r="D10" s="73"/>
      <c r="E10" s="22" t="s">
        <v>376</v>
      </c>
      <c r="F10" s="75"/>
      <c r="G10" s="24" t="s">
        <v>377</v>
      </c>
    </row>
    <row r="11" ht="15.75" customHeight="1">
      <c r="A11" s="16" t="s">
        <v>378</v>
      </c>
      <c r="B11" s="73"/>
      <c r="C11" s="73"/>
      <c r="D11" s="73"/>
      <c r="E11" s="22" t="s">
        <v>376</v>
      </c>
      <c r="F11" s="75"/>
      <c r="G11" s="24" t="s">
        <v>379</v>
      </c>
    </row>
    <row r="12" ht="15.75" customHeight="1">
      <c r="A12" s="16" t="s">
        <v>380</v>
      </c>
      <c r="B12" s="73"/>
      <c r="C12" s="73"/>
      <c r="D12" s="73"/>
      <c r="E12" s="22" t="s">
        <v>213</v>
      </c>
      <c r="F12" s="75"/>
      <c r="G12" s="24" t="s">
        <v>381</v>
      </c>
    </row>
    <row r="13" ht="15.0" customHeight="1">
      <c r="A13" s="16" t="s">
        <v>306</v>
      </c>
      <c r="B13" s="72">
        <v>0.15</v>
      </c>
      <c r="C13" s="72">
        <v>0.15</v>
      </c>
      <c r="D13" s="72">
        <v>0.15</v>
      </c>
      <c r="E13" s="22" t="s">
        <v>119</v>
      </c>
      <c r="F13" s="75" t="s">
        <v>382</v>
      </c>
      <c r="G13" s="22"/>
    </row>
    <row r="14">
      <c r="A14" s="2"/>
      <c r="B14" s="2"/>
      <c r="C14" s="2"/>
      <c r="D14" s="2"/>
      <c r="E14" s="2"/>
      <c r="F14" s="2"/>
      <c r="G14" s="2"/>
    </row>
    <row r="15" ht="26.25" customHeight="1">
      <c r="A15" s="11" t="s">
        <v>383</v>
      </c>
      <c r="B15" s="11" t="s">
        <v>262</v>
      </c>
      <c r="C15" s="11" t="s">
        <v>263</v>
      </c>
      <c r="D15" s="11" t="s">
        <v>264</v>
      </c>
      <c r="E15" s="11" t="s">
        <v>319</v>
      </c>
      <c r="F15" s="2"/>
      <c r="G15" s="2"/>
    </row>
    <row r="16" ht="15.0" customHeight="1">
      <c r="A16" s="27" t="s">
        <v>384</v>
      </c>
      <c r="B16" s="33">
        <f t="shared" ref="B16:D16" si="1">B5*B6*52/12*B7*B8+B9</f>
        <v>0</v>
      </c>
      <c r="C16" s="33">
        <f t="shared" si="1"/>
        <v>0</v>
      </c>
      <c r="D16" s="33">
        <f t="shared" si="1"/>
        <v>0</v>
      </c>
      <c r="E16" s="2"/>
      <c r="F16" s="2"/>
      <c r="G16" s="2"/>
    </row>
    <row r="17" ht="15.0" customHeight="1">
      <c r="A17" s="27" t="s">
        <v>385</v>
      </c>
      <c r="B17" s="33">
        <f t="shared" ref="B17:D17" si="2">B16-B12</f>
        <v>0</v>
      </c>
      <c r="C17" s="33">
        <f t="shared" si="2"/>
        <v>0</v>
      </c>
      <c r="D17" s="33">
        <f t="shared" si="2"/>
        <v>0</v>
      </c>
      <c r="E17" s="2" t="s">
        <v>386</v>
      </c>
      <c r="F17" s="2"/>
      <c r="G17" s="2"/>
    </row>
    <row r="18" ht="15.0" customHeight="1">
      <c r="A18" s="27" t="s">
        <v>387</v>
      </c>
      <c r="B18" s="33">
        <f t="shared" ref="B18:D18" si="3">B10+B11</f>
        <v>0</v>
      </c>
      <c r="C18" s="33">
        <f t="shared" si="3"/>
        <v>0</v>
      </c>
      <c r="D18" s="33">
        <f t="shared" si="3"/>
        <v>0</v>
      </c>
      <c r="E18" s="2"/>
      <c r="F18" s="2"/>
      <c r="G18" s="2"/>
    </row>
    <row r="19" ht="15.0" customHeight="1">
      <c r="A19" s="27" t="s">
        <v>388</v>
      </c>
      <c r="B19" s="83" t="str">
        <f t="shared" ref="B19:D19" si="4">IF(B5=0,"Chưa điền",IF(B17&gt;0,B18/B17,"Không hoàn vốn"))</f>
        <v>Chưa điền</v>
      </c>
      <c r="C19" s="83" t="str">
        <f t="shared" si="4"/>
        <v>Chưa điền</v>
      </c>
      <c r="D19" s="83" t="str">
        <f t="shared" si="4"/>
        <v>Chưa điền</v>
      </c>
      <c r="E19" s="2" t="s">
        <v>328</v>
      </c>
      <c r="F19" s="2"/>
      <c r="G19" s="2"/>
    </row>
    <row r="20" ht="15.0" customHeight="1">
      <c r="A20" s="27" t="s">
        <v>390</v>
      </c>
      <c r="B20" s="38">
        <f t="shared" ref="B20:D20" si="5">IFERROR((12*B17-B18)/B18,0)</f>
        <v>0</v>
      </c>
      <c r="C20" s="38">
        <f t="shared" si="5"/>
        <v>0</v>
      </c>
      <c r="D20" s="38">
        <f t="shared" si="5"/>
        <v>0</v>
      </c>
      <c r="E20" s="2" t="s">
        <v>386</v>
      </c>
      <c r="F20" s="2"/>
      <c r="G20" s="2"/>
    </row>
    <row r="21" ht="15.0" customHeight="1">
      <c r="A21" s="27" t="s">
        <v>391</v>
      </c>
      <c r="B21" s="36">
        <f t="shared" ref="B21:D21" si="6">PV(B13/12,24,-B17)-B18</f>
        <v>0</v>
      </c>
      <c r="C21" s="36">
        <f t="shared" si="6"/>
        <v>0</v>
      </c>
      <c r="D21" s="36">
        <f t="shared" si="6"/>
        <v>0</v>
      </c>
      <c r="E21" s="2" t="s">
        <v>386</v>
      </c>
      <c r="F21" s="2"/>
      <c r="G21" s="2"/>
    </row>
    <row r="22" ht="15.0" customHeight="1">
      <c r="A22" s="27" t="s">
        <v>392</v>
      </c>
      <c r="B22" s="78" t="str">
        <f t="shared" ref="B22:D22" si="7">IF(B5=0,"Chưa điền",IF(NOT(ISNUMBER(B19)),"Dừng",IF(B19&lt;12,"Làm","Thử nghiệm nhỏ")))</f>
        <v>Chưa điền</v>
      </c>
      <c r="C22" s="78" t="str">
        <f t="shared" si="7"/>
        <v>Chưa điền</v>
      </c>
      <c r="D22" s="78" t="str">
        <f t="shared" si="7"/>
        <v>Chưa điền</v>
      </c>
      <c r="E22" s="40" t="s">
        <v>393</v>
      </c>
      <c r="F22" s="2"/>
      <c r="G22" s="2"/>
    </row>
    <row r="23" ht="15.75" customHeight="1">
      <c r="A23" s="2"/>
      <c r="B23" s="2"/>
      <c r="C23" s="2"/>
      <c r="D23" s="2"/>
      <c r="E23" s="2"/>
      <c r="F23" s="2"/>
      <c r="G23" s="2"/>
    </row>
    <row r="24" ht="15.75" customHeight="1">
      <c r="A24" s="2"/>
      <c r="B24" s="2"/>
      <c r="C24" s="2"/>
      <c r="D24" s="2"/>
      <c r="E24" s="2"/>
      <c r="F24" s="2"/>
      <c r="G24" s="2"/>
    </row>
    <row r="25" ht="15.75" customHeight="1">
      <c r="A25" s="2"/>
      <c r="B25" s="2"/>
      <c r="C25" s="2"/>
      <c r="D25" s="2"/>
      <c r="E25" s="2"/>
      <c r="F25" s="2"/>
      <c r="G25" s="2"/>
    </row>
    <row r="26" ht="15.75" customHeight="1">
      <c r="A26" s="2"/>
      <c r="B26" s="2"/>
      <c r="C26" s="2"/>
      <c r="D26" s="2"/>
      <c r="E26" s="2"/>
      <c r="F26" s="2"/>
      <c r="G26" s="2"/>
    </row>
    <row r="27" ht="15.75" customHeight="1">
      <c r="A27" s="2"/>
      <c r="B27" s="2"/>
      <c r="C27" s="2"/>
      <c r="D27" s="2"/>
      <c r="E27" s="2"/>
      <c r="F27" s="2"/>
      <c r="G27" s="2"/>
    </row>
    <row r="28" ht="15.75" customHeight="1">
      <c r="A28" s="2"/>
      <c r="B28" s="2"/>
      <c r="C28" s="2"/>
      <c r="D28" s="2"/>
      <c r="E28" s="2"/>
      <c r="F28" s="2"/>
      <c r="G28" s="2"/>
    </row>
    <row r="29" ht="15.75" customHeight="1">
      <c r="A29" s="2"/>
      <c r="B29" s="2"/>
      <c r="C29" s="2"/>
      <c r="D29" s="2"/>
      <c r="E29" s="2"/>
      <c r="F29" s="2"/>
      <c r="G29" s="2"/>
    </row>
    <row r="30" ht="15.75" customHeight="1">
      <c r="A30" s="2"/>
      <c r="B30" s="2"/>
      <c r="C30" s="2"/>
      <c r="D30" s="2"/>
      <c r="E30" s="2"/>
      <c r="F30" s="2"/>
      <c r="G30" s="2"/>
    </row>
    <row r="31" ht="15.75" customHeight="1">
      <c r="A31" s="2"/>
      <c r="B31" s="2"/>
      <c r="C31" s="2"/>
      <c r="D31" s="2"/>
      <c r="E31" s="2"/>
      <c r="F31" s="2"/>
      <c r="G31" s="2"/>
    </row>
    <row r="32" ht="15.75" customHeight="1">
      <c r="A32" s="2"/>
      <c r="B32" s="2"/>
      <c r="C32" s="2"/>
      <c r="D32" s="2"/>
      <c r="E32" s="2"/>
      <c r="F32" s="2"/>
      <c r="G32" s="2"/>
    </row>
    <row r="33" ht="15.75" customHeight="1">
      <c r="A33" s="2"/>
      <c r="B33" s="2"/>
      <c r="C33" s="2"/>
      <c r="D33" s="2"/>
      <c r="E33" s="2"/>
      <c r="F33" s="2"/>
      <c r="G33" s="2"/>
    </row>
    <row r="34" ht="15.75" customHeight="1">
      <c r="A34" s="2"/>
      <c r="B34" s="2"/>
      <c r="C34" s="2"/>
      <c r="D34" s="2"/>
      <c r="E34" s="2"/>
      <c r="F34" s="2"/>
      <c r="G34" s="2"/>
    </row>
    <row r="35" ht="15.75" customHeight="1">
      <c r="A35" s="2"/>
      <c r="B35" s="2"/>
      <c r="C35" s="2"/>
      <c r="D35" s="2"/>
      <c r="E35" s="2"/>
      <c r="F35" s="2"/>
      <c r="G35" s="2"/>
    </row>
    <row r="36" ht="15.75" customHeight="1">
      <c r="A36" s="2"/>
      <c r="B36" s="2"/>
      <c r="C36" s="2"/>
      <c r="D36" s="2"/>
      <c r="E36" s="2"/>
      <c r="F36" s="2"/>
      <c r="G36" s="2"/>
    </row>
    <row r="37" ht="15.75" customHeight="1">
      <c r="A37" s="2"/>
      <c r="B37" s="2"/>
      <c r="C37" s="2"/>
      <c r="D37" s="2"/>
      <c r="E37" s="2"/>
      <c r="F37" s="2"/>
      <c r="G37" s="2"/>
    </row>
    <row r="38" ht="15.75" customHeight="1">
      <c r="A38" s="2"/>
      <c r="B38" s="2"/>
      <c r="C38" s="2"/>
      <c r="D38" s="2"/>
      <c r="E38" s="2"/>
      <c r="F38" s="2"/>
      <c r="G38" s="2"/>
    </row>
    <row r="39" ht="15.75" customHeight="1">
      <c r="A39" s="2"/>
      <c r="B39" s="2"/>
      <c r="C39" s="2"/>
      <c r="D39" s="2"/>
      <c r="E39" s="2"/>
      <c r="F39" s="2"/>
      <c r="G39" s="2"/>
    </row>
    <row r="40" ht="15.75" customHeight="1">
      <c r="A40" s="2"/>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2"/>
      <c r="B43" s="2"/>
      <c r="C43" s="2"/>
      <c r="D43" s="2"/>
      <c r="E43" s="2"/>
      <c r="F43" s="2"/>
      <c r="G43" s="2"/>
    </row>
    <row r="44" ht="15.75" customHeight="1">
      <c r="A44" s="2"/>
      <c r="B44" s="2"/>
      <c r="C44" s="2"/>
      <c r="D44" s="2"/>
      <c r="E44" s="2"/>
      <c r="F44" s="2"/>
      <c r="G44" s="2"/>
    </row>
    <row r="45" ht="15.75" customHeight="1">
      <c r="A45" s="2"/>
      <c r="B45" s="2"/>
      <c r="C45" s="2"/>
      <c r="D45" s="2"/>
      <c r="E45" s="2"/>
      <c r="F45" s="2"/>
      <c r="G45" s="2"/>
    </row>
    <row r="46" ht="15.75" customHeight="1">
      <c r="A46" s="2"/>
      <c r="B46" s="2"/>
      <c r="C46" s="2"/>
      <c r="D46" s="2"/>
      <c r="E46" s="2"/>
      <c r="F46" s="2"/>
      <c r="G46" s="2"/>
    </row>
    <row r="47" ht="15.75" customHeight="1">
      <c r="A47" s="2"/>
      <c r="B47" s="2"/>
      <c r="C47" s="2"/>
      <c r="D47" s="2"/>
      <c r="E47" s="2"/>
      <c r="F47" s="2"/>
      <c r="G47" s="2"/>
    </row>
    <row r="48" ht="15.75" customHeight="1">
      <c r="A48" s="2"/>
      <c r="B48" s="2"/>
      <c r="C48" s="2"/>
      <c r="D48" s="2"/>
      <c r="E48" s="2"/>
      <c r="F48" s="2"/>
      <c r="G48" s="2"/>
    </row>
    <row r="49" ht="15.75" customHeight="1">
      <c r="A49" s="2"/>
      <c r="B49" s="2"/>
      <c r="C49" s="2"/>
      <c r="D49" s="2"/>
      <c r="E49" s="2"/>
      <c r="F49" s="2"/>
      <c r="G49" s="2"/>
    </row>
    <row r="50" ht="15.75" customHeight="1">
      <c r="A50" s="2"/>
      <c r="B50" s="2"/>
      <c r="C50" s="2"/>
      <c r="D50" s="2"/>
      <c r="E50" s="2"/>
      <c r="F50" s="2"/>
      <c r="G50" s="2"/>
    </row>
    <row r="51" ht="15.75" customHeight="1">
      <c r="A51" s="2"/>
      <c r="B51" s="2"/>
      <c r="C51" s="2"/>
      <c r="D51" s="2"/>
      <c r="E51" s="2"/>
      <c r="F51" s="2"/>
      <c r="G51" s="2"/>
    </row>
    <row r="52" ht="15.75" customHeight="1">
      <c r="A52" s="2"/>
      <c r="B52" s="2"/>
      <c r="C52" s="2"/>
      <c r="D52" s="2"/>
      <c r="E52" s="2"/>
      <c r="F52" s="2"/>
      <c r="G52" s="2"/>
    </row>
    <row r="53" ht="15.75" customHeight="1">
      <c r="A53" s="2"/>
      <c r="B53" s="2"/>
      <c r="C53" s="2"/>
      <c r="D53" s="2"/>
      <c r="E53" s="2"/>
      <c r="F53" s="2"/>
      <c r="G53" s="2"/>
    </row>
    <row r="54" ht="15.75" customHeight="1">
      <c r="A54" s="2"/>
      <c r="B54" s="2"/>
      <c r="C54" s="2"/>
      <c r="D54" s="2"/>
      <c r="E54" s="2"/>
      <c r="F54" s="2"/>
      <c r="G54" s="2"/>
    </row>
    <row r="55" ht="15.75" customHeight="1">
      <c r="A55" s="2"/>
      <c r="B55" s="2"/>
      <c r="C55" s="2"/>
      <c r="D55" s="2"/>
      <c r="E55" s="2"/>
      <c r="F55" s="2"/>
      <c r="G55" s="2"/>
    </row>
    <row r="56" ht="15.75" customHeight="1">
      <c r="A56" s="2"/>
      <c r="B56" s="2"/>
      <c r="C56" s="2"/>
      <c r="D56" s="2"/>
      <c r="E56" s="2"/>
      <c r="F56" s="2"/>
      <c r="G56" s="2"/>
    </row>
    <row r="57" ht="15.75" customHeight="1">
      <c r="A57" s="2"/>
      <c r="B57" s="2"/>
      <c r="C57" s="2"/>
      <c r="D57" s="2"/>
      <c r="E57" s="2"/>
      <c r="F57" s="2"/>
      <c r="G57" s="2"/>
    </row>
    <row r="58" ht="15.75" customHeight="1">
      <c r="A58" s="2"/>
      <c r="B58" s="2"/>
      <c r="C58" s="2"/>
      <c r="D58" s="2"/>
      <c r="E58" s="2"/>
      <c r="F58" s="2"/>
      <c r="G58" s="2"/>
    </row>
    <row r="59" ht="15.75" customHeight="1">
      <c r="A59" s="2"/>
      <c r="B59" s="2"/>
      <c r="C59" s="2"/>
      <c r="D59" s="2"/>
      <c r="E59" s="2"/>
      <c r="F59" s="2"/>
      <c r="G59" s="2"/>
    </row>
    <row r="60" ht="15.75" customHeight="1">
      <c r="A60" s="2"/>
      <c r="B60" s="2"/>
      <c r="C60" s="2"/>
      <c r="D60" s="2"/>
      <c r="E60" s="2"/>
      <c r="F60" s="2"/>
      <c r="G60" s="2"/>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c r="A256" s="2"/>
      <c r="B256" s="2"/>
      <c r="C256" s="2"/>
      <c r="D256" s="2"/>
      <c r="E256" s="2"/>
      <c r="F256" s="2"/>
      <c r="G256" s="2"/>
    </row>
    <row r="257" ht="15.75" customHeight="1">
      <c r="A257" s="2"/>
      <c r="B257" s="2"/>
      <c r="C257" s="2"/>
      <c r="D257" s="2"/>
      <c r="E257" s="2"/>
      <c r="F257" s="2"/>
      <c r="G257" s="2"/>
    </row>
    <row r="258" ht="15.75" customHeight="1">
      <c r="A258" s="2"/>
      <c r="B258" s="2"/>
      <c r="C258" s="2"/>
      <c r="D258" s="2"/>
      <c r="E258" s="2"/>
      <c r="F258" s="2"/>
      <c r="G258" s="2"/>
    </row>
    <row r="259" ht="15.75" customHeight="1">
      <c r="A259" s="2"/>
      <c r="B259" s="2"/>
      <c r="C259" s="2"/>
      <c r="D259" s="2"/>
      <c r="E259" s="2"/>
      <c r="F259" s="2"/>
      <c r="G259" s="2"/>
    </row>
    <row r="260" ht="15.75" customHeight="1">
      <c r="A260" s="2"/>
      <c r="B260" s="2"/>
      <c r="C260" s="2"/>
      <c r="D260" s="2"/>
      <c r="E260" s="2"/>
      <c r="F260" s="2"/>
      <c r="G260" s="2"/>
    </row>
    <row r="261" ht="15.75" customHeight="1">
      <c r="A261" s="2"/>
      <c r="B261" s="2"/>
      <c r="C261" s="2"/>
      <c r="D261" s="2"/>
      <c r="E261" s="2"/>
      <c r="F261" s="2"/>
      <c r="G261" s="2"/>
    </row>
    <row r="262" ht="15.75" customHeight="1">
      <c r="A262" s="2"/>
      <c r="B262" s="2"/>
      <c r="C262" s="2"/>
      <c r="D262" s="2"/>
      <c r="E262" s="2"/>
      <c r="F262" s="2"/>
      <c r="G262" s="2"/>
    </row>
    <row r="263" ht="15.75" customHeight="1">
      <c r="A263" s="2"/>
      <c r="B263" s="2"/>
      <c r="C263" s="2"/>
      <c r="D263" s="2"/>
      <c r="E263" s="2"/>
      <c r="F263" s="2"/>
      <c r="G263" s="2"/>
    </row>
    <row r="264" ht="15.75" customHeight="1">
      <c r="A264" s="2"/>
      <c r="B264" s="2"/>
      <c r="C264" s="2"/>
      <c r="D264" s="2"/>
      <c r="E264" s="2"/>
      <c r="F264" s="2"/>
      <c r="G264" s="2"/>
    </row>
    <row r="265" ht="15.75" customHeight="1">
      <c r="A265" s="2"/>
      <c r="B265" s="2"/>
      <c r="C265" s="2"/>
      <c r="D265" s="2"/>
      <c r="E265" s="2"/>
      <c r="F265" s="2"/>
      <c r="G265" s="2"/>
    </row>
    <row r="266" ht="15.75" customHeight="1">
      <c r="A266" s="2"/>
      <c r="B266" s="2"/>
      <c r="C266" s="2"/>
      <c r="D266" s="2"/>
      <c r="E266" s="2"/>
      <c r="F266" s="2"/>
      <c r="G266" s="2"/>
    </row>
    <row r="267" ht="15.75" customHeight="1">
      <c r="A267" s="2"/>
      <c r="B267" s="2"/>
      <c r="C267" s="2"/>
      <c r="D267" s="2"/>
      <c r="E267" s="2"/>
      <c r="F267" s="2"/>
      <c r="G267" s="2"/>
    </row>
    <row r="268" ht="15.75" customHeight="1">
      <c r="A268" s="2"/>
      <c r="B268" s="2"/>
      <c r="C268" s="2"/>
      <c r="D268" s="2"/>
      <c r="E268" s="2"/>
      <c r="F268" s="2"/>
      <c r="G268" s="2"/>
    </row>
    <row r="269" ht="15.75" customHeight="1">
      <c r="A269" s="2"/>
      <c r="B269" s="2"/>
      <c r="C269" s="2"/>
      <c r="D269" s="2"/>
      <c r="E269" s="2"/>
      <c r="F269" s="2"/>
      <c r="G269" s="2"/>
    </row>
    <row r="270" ht="15.75" customHeight="1">
      <c r="A270" s="2"/>
      <c r="B270" s="2"/>
      <c r="C270" s="2"/>
      <c r="D270" s="2"/>
      <c r="E270" s="2"/>
      <c r="F270" s="2"/>
      <c r="G270" s="2"/>
    </row>
    <row r="271" ht="15.75" customHeight="1">
      <c r="A271" s="2"/>
      <c r="B271" s="2"/>
      <c r="C271" s="2"/>
      <c r="D271" s="2"/>
      <c r="E271" s="2"/>
      <c r="F271" s="2"/>
      <c r="G271" s="2"/>
    </row>
    <row r="272" ht="15.75" customHeight="1">
      <c r="A272" s="2"/>
      <c r="B272" s="2"/>
      <c r="C272" s="2"/>
      <c r="D272" s="2"/>
      <c r="E272" s="2"/>
      <c r="F272" s="2"/>
      <c r="G272" s="2"/>
    </row>
    <row r="273" ht="15.75" customHeight="1">
      <c r="A273" s="2"/>
      <c r="B273" s="2"/>
      <c r="C273" s="2"/>
      <c r="D273" s="2"/>
      <c r="E273" s="2"/>
      <c r="F273" s="2"/>
      <c r="G273" s="2"/>
    </row>
    <row r="274" ht="15.75" customHeight="1">
      <c r="A274" s="2"/>
      <c r="B274" s="2"/>
      <c r="C274" s="2"/>
      <c r="D274" s="2"/>
      <c r="E274" s="2"/>
      <c r="F274" s="2"/>
      <c r="G274" s="2"/>
    </row>
    <row r="275" ht="15.75" customHeight="1">
      <c r="A275" s="2"/>
      <c r="B275" s="2"/>
      <c r="C275" s="2"/>
      <c r="D275" s="2"/>
      <c r="E275" s="2"/>
      <c r="F275" s="2"/>
      <c r="G275" s="2"/>
    </row>
    <row r="276" ht="15.75" customHeight="1">
      <c r="A276" s="2"/>
      <c r="B276" s="2"/>
      <c r="C276" s="2"/>
      <c r="D276" s="2"/>
      <c r="E276" s="2"/>
      <c r="F276" s="2"/>
      <c r="G276" s="2"/>
    </row>
    <row r="277" ht="15.75" customHeight="1">
      <c r="A277" s="2"/>
      <c r="B277" s="2"/>
      <c r="C277" s="2"/>
      <c r="D277" s="2"/>
      <c r="E277" s="2"/>
      <c r="F277" s="2"/>
      <c r="G277" s="2"/>
    </row>
    <row r="278" ht="15.75" customHeight="1">
      <c r="A278" s="2"/>
      <c r="B278" s="2"/>
      <c r="C278" s="2"/>
      <c r="D278" s="2"/>
      <c r="E278" s="2"/>
      <c r="F278" s="2"/>
      <c r="G278" s="2"/>
    </row>
    <row r="279" ht="15.75" customHeight="1">
      <c r="A279" s="2"/>
      <c r="B279" s="2"/>
      <c r="C279" s="2"/>
      <c r="D279" s="2"/>
      <c r="E279" s="2"/>
      <c r="F279" s="2"/>
      <c r="G279" s="2"/>
    </row>
    <row r="280" ht="15.75" customHeight="1">
      <c r="A280" s="2"/>
      <c r="B280" s="2"/>
      <c r="C280" s="2"/>
      <c r="D280" s="2"/>
      <c r="E280" s="2"/>
      <c r="F280" s="2"/>
      <c r="G280" s="2"/>
    </row>
    <row r="281" ht="15.75" customHeight="1">
      <c r="A281" s="2"/>
      <c r="B281" s="2"/>
      <c r="C281" s="2"/>
      <c r="D281" s="2"/>
      <c r="E281" s="2"/>
      <c r="F281" s="2"/>
      <c r="G281" s="2"/>
    </row>
    <row r="282" ht="15.75" customHeight="1">
      <c r="A282" s="2"/>
      <c r="B282" s="2"/>
      <c r="C282" s="2"/>
      <c r="D282" s="2"/>
      <c r="E282" s="2"/>
      <c r="F282" s="2"/>
      <c r="G282" s="2"/>
    </row>
    <row r="283" ht="15.75" customHeight="1">
      <c r="A283" s="2"/>
      <c r="B283" s="2"/>
      <c r="C283" s="2"/>
      <c r="D283" s="2"/>
      <c r="E283" s="2"/>
      <c r="F283" s="2"/>
      <c r="G283" s="2"/>
    </row>
    <row r="284" ht="15.75" customHeight="1">
      <c r="A284" s="2"/>
      <c r="B284" s="2"/>
      <c r="C284" s="2"/>
      <c r="D284" s="2"/>
      <c r="E284" s="2"/>
      <c r="F284" s="2"/>
      <c r="G284" s="2"/>
    </row>
    <row r="285" ht="15.75" customHeight="1">
      <c r="A285" s="2"/>
      <c r="B285" s="2"/>
      <c r="C285" s="2"/>
      <c r="D285" s="2"/>
      <c r="E285" s="2"/>
      <c r="F285" s="2"/>
      <c r="G285" s="2"/>
    </row>
    <row r="286" ht="15.75" customHeight="1">
      <c r="A286" s="2"/>
      <c r="B286" s="2"/>
      <c r="C286" s="2"/>
      <c r="D286" s="2"/>
      <c r="E286" s="2"/>
      <c r="F286" s="2"/>
      <c r="G286" s="2"/>
    </row>
    <row r="287" ht="15.75" customHeight="1">
      <c r="A287" s="2"/>
      <c r="B287" s="2"/>
      <c r="C287" s="2"/>
      <c r="D287" s="2"/>
      <c r="E287" s="2"/>
      <c r="F287" s="2"/>
      <c r="G287" s="2"/>
    </row>
    <row r="288" ht="15.75" customHeight="1">
      <c r="A288" s="2"/>
      <c r="B288" s="2"/>
      <c r="C288" s="2"/>
      <c r="D288" s="2"/>
      <c r="E288" s="2"/>
      <c r="F288" s="2"/>
      <c r="G288" s="2"/>
    </row>
    <row r="289" ht="15.75" customHeight="1">
      <c r="A289" s="2"/>
      <c r="B289" s="2"/>
      <c r="C289" s="2"/>
      <c r="D289" s="2"/>
      <c r="E289" s="2"/>
      <c r="F289" s="2"/>
      <c r="G289" s="2"/>
    </row>
    <row r="290" ht="15.75" customHeight="1">
      <c r="A290" s="2"/>
      <c r="B290" s="2"/>
      <c r="C290" s="2"/>
      <c r="D290" s="2"/>
      <c r="E290" s="2"/>
      <c r="F290" s="2"/>
      <c r="G290" s="2"/>
    </row>
    <row r="291" ht="15.75" customHeight="1">
      <c r="A291" s="2"/>
      <c r="B291" s="2"/>
      <c r="C291" s="2"/>
      <c r="D291" s="2"/>
      <c r="E291" s="2"/>
      <c r="F291" s="2"/>
      <c r="G291" s="2"/>
    </row>
    <row r="292" ht="15.75" customHeight="1">
      <c r="A292" s="2"/>
      <c r="B292" s="2"/>
      <c r="C292" s="2"/>
      <c r="D292" s="2"/>
      <c r="E292" s="2"/>
      <c r="F292" s="2"/>
      <c r="G292" s="2"/>
    </row>
    <row r="293" ht="15.75" customHeight="1">
      <c r="A293" s="2"/>
      <c r="B293" s="2"/>
      <c r="C293" s="2"/>
      <c r="D293" s="2"/>
      <c r="E293" s="2"/>
      <c r="F293" s="2"/>
      <c r="G293" s="2"/>
    </row>
    <row r="294" ht="15.75" customHeight="1">
      <c r="A294" s="2"/>
      <c r="B294" s="2"/>
      <c r="C294" s="2"/>
      <c r="D294" s="2"/>
      <c r="E294" s="2"/>
      <c r="F294" s="2"/>
      <c r="G294" s="2"/>
    </row>
    <row r="295" ht="15.75" customHeight="1">
      <c r="A295" s="2"/>
      <c r="B295" s="2"/>
      <c r="C295" s="2"/>
      <c r="D295" s="2"/>
      <c r="E295" s="2"/>
      <c r="F295" s="2"/>
      <c r="G295" s="2"/>
    </row>
    <row r="296" ht="15.75" customHeight="1">
      <c r="A296" s="2"/>
      <c r="B296" s="2"/>
      <c r="C296" s="2"/>
      <c r="D296" s="2"/>
      <c r="E296" s="2"/>
      <c r="F296" s="2"/>
      <c r="G296" s="2"/>
    </row>
    <row r="297" ht="15.75" customHeight="1">
      <c r="A297" s="2"/>
      <c r="B297" s="2"/>
      <c r="C297" s="2"/>
      <c r="D297" s="2"/>
      <c r="E297" s="2"/>
      <c r="F297" s="2"/>
      <c r="G297" s="2"/>
    </row>
    <row r="298" ht="15.75" customHeight="1">
      <c r="A298" s="2"/>
      <c r="B298" s="2"/>
      <c r="C298" s="2"/>
      <c r="D298" s="2"/>
      <c r="E298" s="2"/>
      <c r="F298" s="2"/>
      <c r="G298" s="2"/>
    </row>
    <row r="299" ht="15.75" customHeight="1">
      <c r="A299" s="2"/>
      <c r="B299" s="2"/>
      <c r="C299" s="2"/>
      <c r="D299" s="2"/>
      <c r="E299" s="2"/>
      <c r="F299" s="2"/>
      <c r="G299" s="2"/>
    </row>
    <row r="300" ht="15.75" customHeight="1">
      <c r="A300" s="2"/>
      <c r="B300" s="2"/>
      <c r="C300" s="2"/>
      <c r="D300" s="2"/>
      <c r="E300" s="2"/>
      <c r="F300" s="2"/>
      <c r="G300" s="2"/>
    </row>
    <row r="301" ht="15.75" customHeight="1">
      <c r="A301" s="2"/>
      <c r="B301" s="2"/>
      <c r="C301" s="2"/>
      <c r="D301" s="2"/>
      <c r="E301" s="2"/>
      <c r="F301" s="2"/>
      <c r="G301" s="2"/>
    </row>
    <row r="302" ht="15.75" customHeight="1">
      <c r="A302" s="2"/>
      <c r="B302" s="2"/>
      <c r="C302" s="2"/>
      <c r="D302" s="2"/>
      <c r="E302" s="2"/>
      <c r="F302" s="2"/>
      <c r="G302" s="2"/>
    </row>
    <row r="303" ht="15.75" customHeight="1">
      <c r="A303" s="2"/>
      <c r="B303" s="2"/>
      <c r="C303" s="2"/>
      <c r="D303" s="2"/>
      <c r="E303" s="2"/>
      <c r="F303" s="2"/>
      <c r="G303" s="2"/>
    </row>
    <row r="304" ht="15.75" customHeight="1">
      <c r="A304" s="2"/>
      <c r="B304" s="2"/>
      <c r="C304" s="2"/>
      <c r="D304" s="2"/>
      <c r="E304" s="2"/>
      <c r="F304" s="2"/>
      <c r="G304" s="2"/>
    </row>
    <row r="305" ht="15.75" customHeight="1">
      <c r="A305" s="2"/>
      <c r="B305" s="2"/>
      <c r="C305" s="2"/>
      <c r="D305" s="2"/>
      <c r="E305" s="2"/>
      <c r="F305" s="2"/>
      <c r="G305" s="2"/>
    </row>
    <row r="306" ht="15.75" customHeight="1">
      <c r="A306" s="2"/>
      <c r="B306" s="2"/>
      <c r="C306" s="2"/>
      <c r="D306" s="2"/>
      <c r="E306" s="2"/>
      <c r="F306" s="2"/>
      <c r="G306" s="2"/>
    </row>
    <row r="307" ht="15.75" customHeight="1">
      <c r="A307" s="2"/>
      <c r="B307" s="2"/>
      <c r="C307" s="2"/>
      <c r="D307" s="2"/>
      <c r="E307" s="2"/>
      <c r="F307" s="2"/>
      <c r="G307" s="2"/>
    </row>
    <row r="308" ht="15.75" customHeight="1">
      <c r="A308" s="2"/>
      <c r="B308" s="2"/>
      <c r="C308" s="2"/>
      <c r="D308" s="2"/>
      <c r="E308" s="2"/>
      <c r="F308" s="2"/>
      <c r="G308" s="2"/>
    </row>
    <row r="309" ht="15.75" customHeight="1">
      <c r="A309" s="2"/>
      <c r="B309" s="2"/>
      <c r="C309" s="2"/>
      <c r="D309" s="2"/>
      <c r="E309" s="2"/>
      <c r="F309" s="2"/>
      <c r="G309" s="2"/>
    </row>
    <row r="310" ht="15.75" customHeight="1">
      <c r="A310" s="2"/>
      <c r="B310" s="2"/>
      <c r="C310" s="2"/>
      <c r="D310" s="2"/>
      <c r="E310" s="2"/>
      <c r="F310" s="2"/>
      <c r="G310" s="2"/>
    </row>
    <row r="311" ht="15.75" customHeight="1">
      <c r="A311" s="2"/>
      <c r="B311" s="2"/>
      <c r="C311" s="2"/>
      <c r="D311" s="2"/>
      <c r="E311" s="2"/>
      <c r="F311" s="2"/>
      <c r="G311" s="2"/>
    </row>
    <row r="312" ht="15.75" customHeight="1">
      <c r="A312" s="2"/>
      <c r="B312" s="2"/>
      <c r="C312" s="2"/>
      <c r="D312" s="2"/>
      <c r="E312" s="2"/>
      <c r="F312" s="2"/>
      <c r="G312" s="2"/>
    </row>
    <row r="313" ht="15.75" customHeight="1">
      <c r="A313" s="2"/>
      <c r="B313" s="2"/>
      <c r="C313" s="2"/>
      <c r="D313" s="2"/>
      <c r="E313" s="2"/>
      <c r="F313" s="2"/>
      <c r="G313" s="2"/>
    </row>
    <row r="314" ht="15.75" customHeight="1">
      <c r="A314" s="2"/>
      <c r="B314" s="2"/>
      <c r="C314" s="2"/>
      <c r="D314" s="2"/>
      <c r="E314" s="2"/>
      <c r="F314" s="2"/>
      <c r="G314" s="2"/>
    </row>
    <row r="315" ht="15.75" customHeight="1">
      <c r="A315" s="2"/>
      <c r="B315" s="2"/>
      <c r="C315" s="2"/>
      <c r="D315" s="2"/>
      <c r="E315" s="2"/>
      <c r="F315" s="2"/>
      <c r="G315" s="2"/>
    </row>
    <row r="316" ht="15.75" customHeight="1">
      <c r="A316" s="2"/>
      <c r="B316" s="2"/>
      <c r="C316" s="2"/>
      <c r="D316" s="2"/>
      <c r="E316" s="2"/>
      <c r="F316" s="2"/>
      <c r="G316" s="2"/>
    </row>
    <row r="317" ht="15.75" customHeight="1">
      <c r="A317" s="2"/>
      <c r="B317" s="2"/>
      <c r="C317" s="2"/>
      <c r="D317" s="2"/>
      <c r="E317" s="2"/>
      <c r="F317" s="2"/>
      <c r="G317" s="2"/>
    </row>
    <row r="318" ht="15.75" customHeight="1">
      <c r="A318" s="2"/>
      <c r="B318" s="2"/>
      <c r="C318" s="2"/>
      <c r="D318" s="2"/>
      <c r="E318" s="2"/>
      <c r="F318" s="2"/>
      <c r="G318" s="2"/>
    </row>
    <row r="319" ht="15.75" customHeight="1">
      <c r="A319" s="2"/>
      <c r="B319" s="2"/>
      <c r="C319" s="2"/>
      <c r="D319" s="2"/>
      <c r="E319" s="2"/>
      <c r="F319" s="2"/>
      <c r="G319" s="2"/>
    </row>
    <row r="320" ht="15.75" customHeight="1">
      <c r="A320" s="2"/>
      <c r="B320" s="2"/>
      <c r="C320" s="2"/>
      <c r="D320" s="2"/>
      <c r="E320" s="2"/>
      <c r="F320" s="2"/>
      <c r="G320" s="2"/>
    </row>
    <row r="321" ht="15.75" customHeight="1">
      <c r="A321" s="2"/>
      <c r="B321" s="2"/>
      <c r="C321" s="2"/>
      <c r="D321" s="2"/>
      <c r="E321" s="2"/>
      <c r="F321" s="2"/>
      <c r="G321" s="2"/>
    </row>
    <row r="322" ht="15.75" customHeight="1">
      <c r="A322" s="2"/>
      <c r="B322" s="2"/>
      <c r="C322" s="2"/>
      <c r="D322" s="2"/>
      <c r="E322" s="2"/>
      <c r="F322" s="2"/>
      <c r="G322" s="2"/>
    </row>
    <row r="323" ht="15.75" customHeight="1">
      <c r="A323" s="2"/>
      <c r="B323" s="2"/>
      <c r="C323" s="2"/>
      <c r="D323" s="2"/>
      <c r="E323" s="2"/>
      <c r="F323" s="2"/>
      <c r="G323" s="2"/>
    </row>
    <row r="324" ht="15.75" customHeight="1">
      <c r="A324" s="2"/>
      <c r="B324" s="2"/>
      <c r="C324" s="2"/>
      <c r="D324" s="2"/>
      <c r="E324" s="2"/>
      <c r="F324" s="2"/>
      <c r="G324" s="2"/>
    </row>
    <row r="325" ht="15.75" customHeight="1">
      <c r="A325" s="2"/>
      <c r="B325" s="2"/>
      <c r="C325" s="2"/>
      <c r="D325" s="2"/>
      <c r="E325" s="2"/>
      <c r="F325" s="2"/>
      <c r="G325" s="2"/>
    </row>
    <row r="326" ht="15.75" customHeight="1">
      <c r="A326" s="2"/>
      <c r="B326" s="2"/>
      <c r="C326" s="2"/>
      <c r="D326" s="2"/>
      <c r="E326" s="2"/>
      <c r="F326" s="2"/>
      <c r="G326" s="2"/>
    </row>
    <row r="327" ht="15.75" customHeight="1">
      <c r="A327" s="2"/>
      <c r="B327" s="2"/>
      <c r="C327" s="2"/>
      <c r="D327" s="2"/>
      <c r="E327" s="2"/>
      <c r="F327" s="2"/>
      <c r="G327" s="2"/>
    </row>
    <row r="328" ht="15.75" customHeight="1">
      <c r="A328" s="2"/>
      <c r="B328" s="2"/>
      <c r="C328" s="2"/>
      <c r="D328" s="2"/>
      <c r="E328" s="2"/>
      <c r="F328" s="2"/>
      <c r="G328" s="2"/>
    </row>
    <row r="329" ht="15.75" customHeight="1">
      <c r="A329" s="2"/>
      <c r="B329" s="2"/>
      <c r="C329" s="2"/>
      <c r="D329" s="2"/>
      <c r="E329" s="2"/>
      <c r="F329" s="2"/>
      <c r="G329" s="2"/>
    </row>
    <row r="330" ht="15.75" customHeight="1">
      <c r="A330" s="2"/>
      <c r="B330" s="2"/>
      <c r="C330" s="2"/>
      <c r="D330" s="2"/>
      <c r="E330" s="2"/>
      <c r="F330" s="2"/>
      <c r="G330" s="2"/>
    </row>
    <row r="331" ht="15.75" customHeight="1">
      <c r="A331" s="2"/>
      <c r="B331" s="2"/>
      <c r="C331" s="2"/>
      <c r="D331" s="2"/>
      <c r="E331" s="2"/>
      <c r="F331" s="2"/>
      <c r="G331" s="2"/>
    </row>
    <row r="332" ht="15.75" customHeight="1">
      <c r="A332" s="2"/>
      <c r="B332" s="2"/>
      <c r="C332" s="2"/>
      <c r="D332" s="2"/>
      <c r="E332" s="2"/>
      <c r="F332" s="2"/>
      <c r="G332" s="2"/>
    </row>
    <row r="333" ht="15.75" customHeight="1">
      <c r="A333" s="2"/>
      <c r="B333" s="2"/>
      <c r="C333" s="2"/>
      <c r="D333" s="2"/>
      <c r="E333" s="2"/>
      <c r="F333" s="2"/>
      <c r="G333" s="2"/>
    </row>
    <row r="334" ht="15.75" customHeight="1">
      <c r="A334" s="2"/>
      <c r="B334" s="2"/>
      <c r="C334" s="2"/>
      <c r="D334" s="2"/>
      <c r="E334" s="2"/>
      <c r="F334" s="2"/>
      <c r="G334" s="2"/>
    </row>
    <row r="335" ht="15.75" customHeight="1">
      <c r="A335" s="2"/>
      <c r="B335" s="2"/>
      <c r="C335" s="2"/>
      <c r="D335" s="2"/>
      <c r="E335" s="2"/>
      <c r="F335" s="2"/>
      <c r="G335" s="2"/>
    </row>
    <row r="336" ht="15.75" customHeight="1">
      <c r="A336" s="2"/>
      <c r="B336" s="2"/>
      <c r="C336" s="2"/>
      <c r="D336" s="2"/>
      <c r="E336" s="2"/>
      <c r="F336" s="2"/>
      <c r="G336" s="2"/>
    </row>
    <row r="337" ht="15.75" customHeight="1">
      <c r="A337" s="2"/>
      <c r="B337" s="2"/>
      <c r="C337" s="2"/>
      <c r="D337" s="2"/>
      <c r="E337" s="2"/>
      <c r="F337" s="2"/>
      <c r="G337" s="2"/>
    </row>
    <row r="338" ht="15.75" customHeight="1">
      <c r="A338" s="2"/>
      <c r="B338" s="2"/>
      <c r="C338" s="2"/>
      <c r="D338" s="2"/>
      <c r="E338" s="2"/>
      <c r="F338" s="2"/>
      <c r="G338" s="2"/>
    </row>
    <row r="339" ht="15.75" customHeight="1">
      <c r="A339" s="2"/>
      <c r="B339" s="2"/>
      <c r="C339" s="2"/>
      <c r="D339" s="2"/>
      <c r="E339" s="2"/>
      <c r="F339" s="2"/>
      <c r="G339" s="2"/>
    </row>
    <row r="340" ht="15.75" customHeight="1">
      <c r="A340" s="2"/>
      <c r="B340" s="2"/>
      <c r="C340" s="2"/>
      <c r="D340" s="2"/>
      <c r="E340" s="2"/>
      <c r="F340" s="2"/>
      <c r="G340" s="2"/>
    </row>
    <row r="341" ht="15.75" customHeight="1">
      <c r="A341" s="2"/>
      <c r="B341" s="2"/>
      <c r="C341" s="2"/>
      <c r="D341" s="2"/>
      <c r="E341" s="2"/>
      <c r="F341" s="2"/>
      <c r="G341" s="2"/>
    </row>
    <row r="342" ht="15.75" customHeight="1">
      <c r="A342" s="2"/>
      <c r="B342" s="2"/>
      <c r="C342" s="2"/>
      <c r="D342" s="2"/>
      <c r="E342" s="2"/>
      <c r="F342" s="2"/>
      <c r="G342" s="2"/>
    </row>
    <row r="343" ht="15.75" customHeight="1">
      <c r="A343" s="2"/>
      <c r="B343" s="2"/>
      <c r="C343" s="2"/>
      <c r="D343" s="2"/>
      <c r="E343" s="2"/>
      <c r="F343" s="2"/>
      <c r="G343" s="2"/>
    </row>
    <row r="344" ht="15.75" customHeight="1">
      <c r="A344" s="2"/>
      <c r="B344" s="2"/>
      <c r="C344" s="2"/>
      <c r="D344" s="2"/>
      <c r="E344" s="2"/>
      <c r="F344" s="2"/>
      <c r="G344" s="2"/>
    </row>
    <row r="345" ht="15.75" customHeight="1">
      <c r="A345" s="2"/>
      <c r="B345" s="2"/>
      <c r="C345" s="2"/>
      <c r="D345" s="2"/>
      <c r="E345" s="2"/>
      <c r="F345" s="2"/>
      <c r="G345" s="2"/>
    </row>
    <row r="346" ht="15.75" customHeight="1">
      <c r="A346" s="2"/>
      <c r="B346" s="2"/>
      <c r="C346" s="2"/>
      <c r="D346" s="2"/>
      <c r="E346" s="2"/>
      <c r="F346" s="2"/>
      <c r="G346" s="2"/>
    </row>
    <row r="347" ht="15.75" customHeight="1">
      <c r="A347" s="2"/>
      <c r="B347" s="2"/>
      <c r="C347" s="2"/>
      <c r="D347" s="2"/>
      <c r="E347" s="2"/>
      <c r="F347" s="2"/>
      <c r="G347" s="2"/>
    </row>
    <row r="348" ht="15.75" customHeight="1">
      <c r="A348" s="2"/>
      <c r="B348" s="2"/>
      <c r="C348" s="2"/>
      <c r="D348" s="2"/>
      <c r="E348" s="2"/>
      <c r="F348" s="2"/>
      <c r="G348" s="2"/>
    </row>
    <row r="349" ht="15.75" customHeight="1">
      <c r="A349" s="2"/>
      <c r="B349" s="2"/>
      <c r="C349" s="2"/>
      <c r="D349" s="2"/>
      <c r="E349" s="2"/>
      <c r="F349" s="2"/>
      <c r="G349" s="2"/>
    </row>
    <row r="350" ht="15.75" customHeight="1">
      <c r="A350" s="2"/>
      <c r="B350" s="2"/>
      <c r="C350" s="2"/>
      <c r="D350" s="2"/>
      <c r="E350" s="2"/>
      <c r="F350" s="2"/>
      <c r="G350" s="2"/>
    </row>
    <row r="351" ht="15.75" customHeight="1">
      <c r="A351" s="2"/>
      <c r="B351" s="2"/>
      <c r="C351" s="2"/>
      <c r="D351" s="2"/>
      <c r="E351" s="2"/>
      <c r="F351" s="2"/>
      <c r="G351" s="2"/>
    </row>
    <row r="352" ht="15.75" customHeight="1">
      <c r="A352" s="2"/>
      <c r="B352" s="2"/>
      <c r="C352" s="2"/>
      <c r="D352" s="2"/>
      <c r="E352" s="2"/>
      <c r="F352" s="2"/>
      <c r="G352" s="2"/>
    </row>
    <row r="353" ht="15.75" customHeight="1">
      <c r="A353" s="2"/>
      <c r="B353" s="2"/>
      <c r="C353" s="2"/>
      <c r="D353" s="2"/>
      <c r="E353" s="2"/>
      <c r="F353" s="2"/>
      <c r="G353" s="2"/>
    </row>
    <row r="354" ht="15.75" customHeight="1">
      <c r="A354" s="2"/>
      <c r="B354" s="2"/>
      <c r="C354" s="2"/>
      <c r="D354" s="2"/>
      <c r="E354" s="2"/>
      <c r="F354" s="2"/>
      <c r="G354" s="2"/>
    </row>
    <row r="355" ht="15.75" customHeight="1">
      <c r="A355" s="2"/>
      <c r="B355" s="2"/>
      <c r="C355" s="2"/>
      <c r="D355" s="2"/>
      <c r="E355" s="2"/>
      <c r="F355" s="2"/>
      <c r="G355" s="2"/>
    </row>
    <row r="356" ht="15.75" customHeight="1">
      <c r="A356" s="2"/>
      <c r="B356" s="2"/>
      <c r="C356" s="2"/>
      <c r="D356" s="2"/>
      <c r="E356" s="2"/>
      <c r="F356" s="2"/>
      <c r="G356" s="2"/>
    </row>
    <row r="357" ht="15.75" customHeight="1">
      <c r="A357" s="2"/>
      <c r="B357" s="2"/>
      <c r="C357" s="2"/>
      <c r="D357" s="2"/>
      <c r="E357" s="2"/>
      <c r="F357" s="2"/>
      <c r="G357" s="2"/>
    </row>
    <row r="358" ht="15.75" customHeight="1">
      <c r="A358" s="2"/>
      <c r="B358" s="2"/>
      <c r="C358" s="2"/>
      <c r="D358" s="2"/>
      <c r="E358" s="2"/>
      <c r="F358" s="2"/>
      <c r="G358" s="2"/>
    </row>
    <row r="359" ht="15.75" customHeight="1">
      <c r="A359" s="2"/>
      <c r="B359" s="2"/>
      <c r="C359" s="2"/>
      <c r="D359" s="2"/>
      <c r="E359" s="2"/>
      <c r="F359" s="2"/>
      <c r="G359" s="2"/>
    </row>
    <row r="360" ht="15.75" customHeight="1">
      <c r="A360" s="2"/>
      <c r="B360" s="2"/>
      <c r="C360" s="2"/>
      <c r="D360" s="2"/>
      <c r="E360" s="2"/>
      <c r="F360" s="2"/>
      <c r="G360" s="2"/>
    </row>
    <row r="361" ht="15.75" customHeight="1">
      <c r="A361" s="2"/>
      <c r="B361" s="2"/>
      <c r="C361" s="2"/>
      <c r="D361" s="2"/>
      <c r="E361" s="2"/>
      <c r="F361" s="2"/>
      <c r="G361" s="2"/>
    </row>
    <row r="362" ht="15.75" customHeight="1">
      <c r="A362" s="2"/>
      <c r="B362" s="2"/>
      <c r="C362" s="2"/>
      <c r="D362" s="2"/>
      <c r="E362" s="2"/>
      <c r="F362" s="2"/>
      <c r="G362" s="2"/>
    </row>
    <row r="363" ht="15.75" customHeight="1">
      <c r="A363" s="2"/>
      <c r="B363" s="2"/>
      <c r="C363" s="2"/>
      <c r="D363" s="2"/>
      <c r="E363" s="2"/>
      <c r="F363" s="2"/>
      <c r="G363" s="2"/>
    </row>
    <row r="364" ht="15.75" customHeight="1">
      <c r="A364" s="2"/>
      <c r="B364" s="2"/>
      <c r="C364" s="2"/>
      <c r="D364" s="2"/>
      <c r="E364" s="2"/>
      <c r="F364" s="2"/>
      <c r="G364" s="2"/>
    </row>
    <row r="365" ht="15.75" customHeight="1">
      <c r="A365" s="2"/>
      <c r="B365" s="2"/>
      <c r="C365" s="2"/>
      <c r="D365" s="2"/>
      <c r="E365" s="2"/>
      <c r="F365" s="2"/>
      <c r="G365" s="2"/>
    </row>
    <row r="366" ht="15.75" customHeight="1">
      <c r="A366" s="2"/>
      <c r="B366" s="2"/>
      <c r="C366" s="2"/>
      <c r="D366" s="2"/>
      <c r="E366" s="2"/>
      <c r="F366" s="2"/>
      <c r="G366" s="2"/>
    </row>
    <row r="367" ht="15.75" customHeight="1">
      <c r="A367" s="2"/>
      <c r="B367" s="2"/>
      <c r="C367" s="2"/>
      <c r="D367" s="2"/>
      <c r="E367" s="2"/>
      <c r="F367" s="2"/>
      <c r="G367" s="2"/>
    </row>
    <row r="368" ht="15.75" customHeight="1">
      <c r="A368" s="2"/>
      <c r="B368" s="2"/>
      <c r="C368" s="2"/>
      <c r="D368" s="2"/>
      <c r="E368" s="2"/>
      <c r="F368" s="2"/>
      <c r="G368" s="2"/>
    </row>
    <row r="369" ht="15.75" customHeight="1">
      <c r="A369" s="2"/>
      <c r="B369" s="2"/>
      <c r="C369" s="2"/>
      <c r="D369" s="2"/>
      <c r="E369" s="2"/>
      <c r="F369" s="2"/>
      <c r="G369" s="2"/>
    </row>
    <row r="370" ht="15.75" customHeight="1">
      <c r="A370" s="2"/>
      <c r="B370" s="2"/>
      <c r="C370" s="2"/>
      <c r="D370" s="2"/>
      <c r="E370" s="2"/>
      <c r="F370" s="2"/>
      <c r="G370" s="2"/>
    </row>
    <row r="371" ht="15.75" customHeight="1">
      <c r="A371" s="2"/>
      <c r="B371" s="2"/>
      <c r="C371" s="2"/>
      <c r="D371" s="2"/>
      <c r="E371" s="2"/>
      <c r="F371" s="2"/>
      <c r="G371" s="2"/>
    </row>
    <row r="372" ht="15.75" customHeight="1">
      <c r="A372" s="2"/>
      <c r="B372" s="2"/>
      <c r="C372" s="2"/>
      <c r="D372" s="2"/>
      <c r="E372" s="2"/>
      <c r="F372" s="2"/>
      <c r="G372" s="2"/>
    </row>
    <row r="373" ht="15.75" customHeight="1">
      <c r="A373" s="2"/>
      <c r="B373" s="2"/>
      <c r="C373" s="2"/>
      <c r="D373" s="2"/>
      <c r="E373" s="2"/>
      <c r="F373" s="2"/>
      <c r="G373" s="2"/>
    </row>
    <row r="374" ht="15.75" customHeight="1">
      <c r="A374" s="2"/>
      <c r="B374" s="2"/>
      <c r="C374" s="2"/>
      <c r="D374" s="2"/>
      <c r="E374" s="2"/>
      <c r="F374" s="2"/>
      <c r="G374" s="2"/>
    </row>
    <row r="375" ht="15.75" customHeight="1">
      <c r="A375" s="2"/>
      <c r="B375" s="2"/>
      <c r="C375" s="2"/>
      <c r="D375" s="2"/>
      <c r="E375" s="2"/>
      <c r="F375" s="2"/>
      <c r="G375" s="2"/>
    </row>
    <row r="376" ht="15.75" customHeight="1">
      <c r="A376" s="2"/>
      <c r="B376" s="2"/>
      <c r="C376" s="2"/>
      <c r="D376" s="2"/>
      <c r="E376" s="2"/>
      <c r="F376" s="2"/>
      <c r="G376" s="2"/>
    </row>
    <row r="377" ht="15.75" customHeight="1">
      <c r="A377" s="2"/>
      <c r="B377" s="2"/>
      <c r="C377" s="2"/>
      <c r="D377" s="2"/>
      <c r="E377" s="2"/>
      <c r="F377" s="2"/>
      <c r="G377" s="2"/>
    </row>
    <row r="378" ht="15.75" customHeight="1">
      <c r="A378" s="2"/>
      <c r="B378" s="2"/>
      <c r="C378" s="2"/>
      <c r="D378" s="2"/>
      <c r="E378" s="2"/>
      <c r="F378" s="2"/>
      <c r="G378" s="2"/>
    </row>
    <row r="379" ht="15.75" customHeight="1">
      <c r="A379" s="2"/>
      <c r="B379" s="2"/>
      <c r="C379" s="2"/>
      <c r="D379" s="2"/>
      <c r="E379" s="2"/>
      <c r="F379" s="2"/>
      <c r="G379" s="2"/>
    </row>
    <row r="380" ht="15.75" customHeight="1">
      <c r="A380" s="2"/>
      <c r="B380" s="2"/>
      <c r="C380" s="2"/>
      <c r="D380" s="2"/>
      <c r="E380" s="2"/>
      <c r="F380" s="2"/>
      <c r="G380" s="2"/>
    </row>
    <row r="381" ht="15.75" customHeight="1">
      <c r="A381" s="2"/>
      <c r="B381" s="2"/>
      <c r="C381" s="2"/>
      <c r="D381" s="2"/>
      <c r="E381" s="2"/>
      <c r="F381" s="2"/>
      <c r="G381" s="2"/>
    </row>
    <row r="382" ht="15.75" customHeight="1">
      <c r="A382" s="2"/>
      <c r="B382" s="2"/>
      <c r="C382" s="2"/>
      <c r="D382" s="2"/>
      <c r="E382" s="2"/>
      <c r="F382" s="2"/>
      <c r="G382" s="2"/>
    </row>
    <row r="383" ht="15.75" customHeight="1">
      <c r="A383" s="2"/>
      <c r="B383" s="2"/>
      <c r="C383" s="2"/>
      <c r="D383" s="2"/>
      <c r="E383" s="2"/>
      <c r="F383" s="2"/>
      <c r="G383" s="2"/>
    </row>
    <row r="384" ht="15.75" customHeight="1">
      <c r="A384" s="2"/>
      <c r="B384" s="2"/>
      <c r="C384" s="2"/>
      <c r="D384" s="2"/>
      <c r="E384" s="2"/>
      <c r="F384" s="2"/>
      <c r="G384" s="2"/>
    </row>
    <row r="385" ht="15.75" customHeight="1">
      <c r="A385" s="2"/>
      <c r="B385" s="2"/>
      <c r="C385" s="2"/>
      <c r="D385" s="2"/>
      <c r="E385" s="2"/>
      <c r="F385" s="2"/>
      <c r="G385" s="2"/>
    </row>
    <row r="386" ht="15.75" customHeight="1">
      <c r="A386" s="2"/>
      <c r="B386" s="2"/>
      <c r="C386" s="2"/>
      <c r="D386" s="2"/>
      <c r="E386" s="2"/>
      <c r="F386" s="2"/>
      <c r="G386" s="2"/>
    </row>
    <row r="387" ht="15.75" customHeight="1">
      <c r="A387" s="2"/>
      <c r="B387" s="2"/>
      <c r="C387" s="2"/>
      <c r="D387" s="2"/>
      <c r="E387" s="2"/>
      <c r="F387" s="2"/>
      <c r="G387" s="2"/>
    </row>
    <row r="388" ht="15.75" customHeight="1">
      <c r="A388" s="2"/>
      <c r="B388" s="2"/>
      <c r="C388" s="2"/>
      <c r="D388" s="2"/>
      <c r="E388" s="2"/>
      <c r="F388" s="2"/>
      <c r="G388" s="2"/>
    </row>
    <row r="389" ht="15.75" customHeight="1">
      <c r="A389" s="2"/>
      <c r="B389" s="2"/>
      <c r="C389" s="2"/>
      <c r="D389" s="2"/>
      <c r="E389" s="2"/>
      <c r="F389" s="2"/>
      <c r="G389" s="2"/>
    </row>
    <row r="390" ht="15.75" customHeight="1">
      <c r="A390" s="2"/>
      <c r="B390" s="2"/>
      <c r="C390" s="2"/>
      <c r="D390" s="2"/>
      <c r="E390" s="2"/>
      <c r="F390" s="2"/>
      <c r="G390" s="2"/>
    </row>
    <row r="391" ht="15.75" customHeight="1">
      <c r="A391" s="2"/>
      <c r="B391" s="2"/>
      <c r="C391" s="2"/>
      <c r="D391" s="2"/>
      <c r="E391" s="2"/>
      <c r="F391" s="2"/>
      <c r="G391" s="2"/>
    </row>
    <row r="392" ht="15.75" customHeight="1">
      <c r="A392" s="2"/>
      <c r="B392" s="2"/>
      <c r="C392" s="2"/>
      <c r="D392" s="2"/>
      <c r="E392" s="2"/>
      <c r="F392" s="2"/>
      <c r="G392" s="2"/>
    </row>
    <row r="393" ht="15.75" customHeight="1">
      <c r="A393" s="2"/>
      <c r="B393" s="2"/>
      <c r="C393" s="2"/>
      <c r="D393" s="2"/>
      <c r="E393" s="2"/>
      <c r="F393" s="2"/>
      <c r="G393" s="2"/>
    </row>
    <row r="394" ht="15.75" customHeight="1">
      <c r="A394" s="2"/>
      <c r="B394" s="2"/>
      <c r="C394" s="2"/>
      <c r="D394" s="2"/>
      <c r="E394" s="2"/>
      <c r="F394" s="2"/>
      <c r="G394" s="2"/>
    </row>
    <row r="395" ht="15.75" customHeight="1">
      <c r="A395" s="2"/>
      <c r="B395" s="2"/>
      <c r="C395" s="2"/>
      <c r="D395" s="2"/>
      <c r="E395" s="2"/>
      <c r="F395" s="2"/>
      <c r="G395" s="2"/>
    </row>
    <row r="396" ht="15.75" customHeight="1">
      <c r="A396" s="2"/>
      <c r="B396" s="2"/>
      <c r="C396" s="2"/>
      <c r="D396" s="2"/>
      <c r="E396" s="2"/>
      <c r="F396" s="2"/>
      <c r="G396" s="2"/>
    </row>
    <row r="397" ht="15.75" customHeight="1">
      <c r="A397" s="2"/>
      <c r="B397" s="2"/>
      <c r="C397" s="2"/>
      <c r="D397" s="2"/>
      <c r="E397" s="2"/>
      <c r="F397" s="2"/>
      <c r="G397" s="2"/>
    </row>
    <row r="398" ht="15.75" customHeight="1">
      <c r="A398" s="2"/>
      <c r="B398" s="2"/>
      <c r="C398" s="2"/>
      <c r="D398" s="2"/>
      <c r="E398" s="2"/>
      <c r="F398" s="2"/>
      <c r="G398" s="2"/>
    </row>
    <row r="399" ht="15.75" customHeight="1">
      <c r="A399" s="2"/>
      <c r="B399" s="2"/>
      <c r="C399" s="2"/>
      <c r="D399" s="2"/>
      <c r="E399" s="2"/>
      <c r="F399" s="2"/>
      <c r="G399" s="2"/>
    </row>
    <row r="400" ht="15.75" customHeight="1">
      <c r="A400" s="2"/>
      <c r="B400" s="2"/>
      <c r="C400" s="2"/>
      <c r="D400" s="2"/>
      <c r="E400" s="2"/>
      <c r="F400" s="2"/>
      <c r="G400" s="2"/>
    </row>
    <row r="401" ht="15.75" customHeight="1">
      <c r="A401" s="2"/>
      <c r="B401" s="2"/>
      <c r="C401" s="2"/>
      <c r="D401" s="2"/>
      <c r="E401" s="2"/>
      <c r="F401" s="2"/>
      <c r="G401" s="2"/>
    </row>
    <row r="402" ht="15.75" customHeight="1">
      <c r="A402" s="2"/>
      <c r="B402" s="2"/>
      <c r="C402" s="2"/>
      <c r="D402" s="2"/>
      <c r="E402" s="2"/>
      <c r="F402" s="2"/>
      <c r="G402" s="2"/>
    </row>
    <row r="403" ht="15.75" customHeight="1">
      <c r="A403" s="2"/>
      <c r="B403" s="2"/>
      <c r="C403" s="2"/>
      <c r="D403" s="2"/>
      <c r="E403" s="2"/>
      <c r="F403" s="2"/>
      <c r="G403" s="2"/>
    </row>
    <row r="404" ht="15.75" customHeight="1">
      <c r="A404" s="2"/>
      <c r="B404" s="2"/>
      <c r="C404" s="2"/>
      <c r="D404" s="2"/>
      <c r="E404" s="2"/>
      <c r="F404" s="2"/>
      <c r="G404" s="2"/>
    </row>
    <row r="405" ht="15.75" customHeight="1">
      <c r="A405" s="2"/>
      <c r="B405" s="2"/>
      <c r="C405" s="2"/>
      <c r="D405" s="2"/>
      <c r="E405" s="2"/>
      <c r="F405" s="2"/>
      <c r="G405" s="2"/>
    </row>
    <row r="406" ht="15.75" customHeight="1">
      <c r="A406" s="2"/>
      <c r="B406" s="2"/>
      <c r="C406" s="2"/>
      <c r="D406" s="2"/>
      <c r="E406" s="2"/>
      <c r="F406" s="2"/>
      <c r="G406" s="2"/>
    </row>
    <row r="407" ht="15.75" customHeight="1">
      <c r="A407" s="2"/>
      <c r="B407" s="2"/>
      <c r="C407" s="2"/>
      <c r="D407" s="2"/>
      <c r="E407" s="2"/>
      <c r="F407" s="2"/>
      <c r="G407" s="2"/>
    </row>
    <row r="408" ht="15.75" customHeight="1">
      <c r="A408" s="2"/>
      <c r="B408" s="2"/>
      <c r="C408" s="2"/>
      <c r="D408" s="2"/>
      <c r="E408" s="2"/>
      <c r="F408" s="2"/>
      <c r="G408" s="2"/>
    </row>
    <row r="409" ht="15.75" customHeight="1">
      <c r="A409" s="2"/>
      <c r="B409" s="2"/>
      <c r="C409" s="2"/>
      <c r="D409" s="2"/>
      <c r="E409" s="2"/>
      <c r="F409" s="2"/>
      <c r="G409" s="2"/>
    </row>
    <row r="410" ht="15.75" customHeight="1">
      <c r="A410" s="2"/>
      <c r="B410" s="2"/>
      <c r="C410" s="2"/>
      <c r="D410" s="2"/>
      <c r="E410" s="2"/>
      <c r="F410" s="2"/>
      <c r="G410" s="2"/>
    </row>
    <row r="411" ht="15.75" customHeight="1">
      <c r="A411" s="2"/>
      <c r="B411" s="2"/>
      <c r="C411" s="2"/>
      <c r="D411" s="2"/>
      <c r="E411" s="2"/>
      <c r="F411" s="2"/>
      <c r="G411" s="2"/>
    </row>
    <row r="412" ht="15.75" customHeight="1">
      <c r="A412" s="2"/>
      <c r="B412" s="2"/>
      <c r="C412" s="2"/>
      <c r="D412" s="2"/>
      <c r="E412" s="2"/>
      <c r="F412" s="2"/>
      <c r="G412" s="2"/>
    </row>
    <row r="413" ht="15.75" customHeight="1">
      <c r="A413" s="2"/>
      <c r="B413" s="2"/>
      <c r="C413" s="2"/>
      <c r="D413" s="2"/>
      <c r="E413" s="2"/>
      <c r="F413" s="2"/>
      <c r="G413" s="2"/>
    </row>
    <row r="414" ht="15.75" customHeight="1">
      <c r="A414" s="2"/>
      <c r="B414" s="2"/>
      <c r="C414" s="2"/>
      <c r="D414" s="2"/>
      <c r="E414" s="2"/>
      <c r="F414" s="2"/>
      <c r="G414" s="2"/>
    </row>
    <row r="415" ht="15.75" customHeight="1">
      <c r="A415" s="2"/>
      <c r="B415" s="2"/>
      <c r="C415" s="2"/>
      <c r="D415" s="2"/>
      <c r="E415" s="2"/>
      <c r="F415" s="2"/>
      <c r="G415" s="2"/>
    </row>
    <row r="416" ht="15.75" customHeight="1">
      <c r="A416" s="2"/>
      <c r="B416" s="2"/>
      <c r="C416" s="2"/>
      <c r="D416" s="2"/>
      <c r="E416" s="2"/>
      <c r="F416" s="2"/>
      <c r="G416" s="2"/>
    </row>
    <row r="417" ht="15.75" customHeight="1">
      <c r="A417" s="2"/>
      <c r="B417" s="2"/>
      <c r="C417" s="2"/>
      <c r="D417" s="2"/>
      <c r="E417" s="2"/>
      <c r="F417" s="2"/>
      <c r="G417" s="2"/>
    </row>
    <row r="418" ht="15.75" customHeight="1">
      <c r="A418" s="2"/>
      <c r="B418" s="2"/>
      <c r="C418" s="2"/>
      <c r="D418" s="2"/>
      <c r="E418" s="2"/>
      <c r="F418" s="2"/>
      <c r="G418" s="2"/>
    </row>
    <row r="419" ht="15.75" customHeight="1">
      <c r="A419" s="2"/>
      <c r="B419" s="2"/>
      <c r="C419" s="2"/>
      <c r="D419" s="2"/>
      <c r="E419" s="2"/>
      <c r="F419" s="2"/>
      <c r="G419" s="2"/>
    </row>
    <row r="420" ht="15.75" customHeight="1">
      <c r="A420" s="2"/>
      <c r="B420" s="2"/>
      <c r="C420" s="2"/>
      <c r="D420" s="2"/>
      <c r="E420" s="2"/>
      <c r="F420" s="2"/>
      <c r="G420" s="2"/>
    </row>
    <row r="421" ht="15.75" customHeight="1">
      <c r="A421" s="2"/>
      <c r="B421" s="2"/>
      <c r="C421" s="2"/>
      <c r="D421" s="2"/>
      <c r="E421" s="2"/>
      <c r="F421" s="2"/>
      <c r="G421" s="2"/>
    </row>
    <row r="422" ht="15.75" customHeight="1">
      <c r="A422" s="2"/>
      <c r="B422" s="2"/>
      <c r="C422" s="2"/>
      <c r="D422" s="2"/>
      <c r="E422" s="2"/>
      <c r="F422" s="2"/>
      <c r="G422" s="2"/>
    </row>
    <row r="423" ht="15.75" customHeight="1">
      <c r="A423" s="2"/>
      <c r="B423" s="2"/>
      <c r="C423" s="2"/>
      <c r="D423" s="2"/>
      <c r="E423" s="2"/>
      <c r="F423" s="2"/>
      <c r="G423" s="2"/>
    </row>
    <row r="424" ht="15.75" customHeight="1">
      <c r="A424" s="2"/>
      <c r="B424" s="2"/>
      <c r="C424" s="2"/>
      <c r="D424" s="2"/>
      <c r="E424" s="2"/>
      <c r="F424" s="2"/>
      <c r="G424" s="2"/>
    </row>
    <row r="425" ht="15.75" customHeight="1">
      <c r="A425" s="2"/>
      <c r="B425" s="2"/>
      <c r="C425" s="2"/>
      <c r="D425" s="2"/>
      <c r="E425" s="2"/>
      <c r="F425" s="2"/>
      <c r="G425" s="2"/>
    </row>
    <row r="426" ht="15.75" customHeight="1">
      <c r="A426" s="2"/>
      <c r="B426" s="2"/>
      <c r="C426" s="2"/>
      <c r="D426" s="2"/>
      <c r="E426" s="2"/>
      <c r="F426" s="2"/>
      <c r="G426" s="2"/>
    </row>
    <row r="427" ht="15.75" customHeight="1">
      <c r="A427" s="2"/>
      <c r="B427" s="2"/>
      <c r="C427" s="2"/>
      <c r="D427" s="2"/>
      <c r="E427" s="2"/>
      <c r="F427" s="2"/>
      <c r="G427" s="2"/>
    </row>
    <row r="428" ht="15.75" customHeight="1">
      <c r="A428" s="2"/>
      <c r="B428" s="2"/>
      <c r="C428" s="2"/>
      <c r="D428" s="2"/>
      <c r="E428" s="2"/>
      <c r="F428" s="2"/>
      <c r="G428" s="2"/>
    </row>
    <row r="429" ht="15.75" customHeight="1">
      <c r="A429" s="2"/>
      <c r="B429" s="2"/>
      <c r="C429" s="2"/>
      <c r="D429" s="2"/>
      <c r="E429" s="2"/>
      <c r="F429" s="2"/>
      <c r="G429" s="2"/>
    </row>
    <row r="430" ht="15.75" customHeight="1">
      <c r="A430" s="2"/>
      <c r="B430" s="2"/>
      <c r="C430" s="2"/>
      <c r="D430" s="2"/>
      <c r="E430" s="2"/>
      <c r="F430" s="2"/>
      <c r="G430" s="2"/>
    </row>
    <row r="431" ht="15.75" customHeight="1">
      <c r="A431" s="2"/>
      <c r="B431" s="2"/>
      <c r="C431" s="2"/>
      <c r="D431" s="2"/>
      <c r="E431" s="2"/>
      <c r="F431" s="2"/>
      <c r="G431" s="2"/>
    </row>
    <row r="432" ht="15.75" customHeight="1">
      <c r="A432" s="2"/>
      <c r="B432" s="2"/>
      <c r="C432" s="2"/>
      <c r="D432" s="2"/>
      <c r="E432" s="2"/>
      <c r="F432" s="2"/>
      <c r="G432" s="2"/>
    </row>
    <row r="433" ht="15.75" customHeight="1">
      <c r="A433" s="2"/>
      <c r="B433" s="2"/>
      <c r="C433" s="2"/>
      <c r="D433" s="2"/>
      <c r="E433" s="2"/>
      <c r="F433" s="2"/>
      <c r="G433" s="2"/>
    </row>
    <row r="434" ht="15.75" customHeight="1">
      <c r="A434" s="2"/>
      <c r="B434" s="2"/>
      <c r="C434" s="2"/>
      <c r="D434" s="2"/>
      <c r="E434" s="2"/>
      <c r="F434" s="2"/>
      <c r="G434" s="2"/>
    </row>
    <row r="435" ht="15.75" customHeight="1">
      <c r="A435" s="2"/>
      <c r="B435" s="2"/>
      <c r="C435" s="2"/>
      <c r="D435" s="2"/>
      <c r="E435" s="2"/>
      <c r="F435" s="2"/>
      <c r="G435" s="2"/>
    </row>
    <row r="436" ht="15.75" customHeight="1">
      <c r="A436" s="2"/>
      <c r="B436" s="2"/>
      <c r="C436" s="2"/>
      <c r="D436" s="2"/>
      <c r="E436" s="2"/>
      <c r="F436" s="2"/>
      <c r="G436" s="2"/>
    </row>
    <row r="437" ht="15.75" customHeight="1">
      <c r="A437" s="2"/>
      <c r="B437" s="2"/>
      <c r="C437" s="2"/>
      <c r="D437" s="2"/>
      <c r="E437" s="2"/>
      <c r="F437" s="2"/>
      <c r="G437" s="2"/>
    </row>
    <row r="438" ht="15.75" customHeight="1">
      <c r="A438" s="2"/>
      <c r="B438" s="2"/>
      <c r="C438" s="2"/>
      <c r="D438" s="2"/>
      <c r="E438" s="2"/>
      <c r="F438" s="2"/>
      <c r="G438" s="2"/>
    </row>
    <row r="439" ht="15.75" customHeight="1">
      <c r="A439" s="2"/>
      <c r="B439" s="2"/>
      <c r="C439" s="2"/>
      <c r="D439" s="2"/>
      <c r="E439" s="2"/>
      <c r="F439" s="2"/>
      <c r="G439" s="2"/>
    </row>
    <row r="440" ht="15.75" customHeight="1">
      <c r="A440" s="2"/>
      <c r="B440" s="2"/>
      <c r="C440" s="2"/>
      <c r="D440" s="2"/>
      <c r="E440" s="2"/>
      <c r="F440" s="2"/>
      <c r="G440" s="2"/>
    </row>
    <row r="441" ht="15.75" customHeight="1">
      <c r="A441" s="2"/>
      <c r="B441" s="2"/>
      <c r="C441" s="2"/>
      <c r="D441" s="2"/>
      <c r="E441" s="2"/>
      <c r="F441" s="2"/>
      <c r="G441" s="2"/>
    </row>
    <row r="442" ht="15.75" customHeight="1">
      <c r="A442" s="2"/>
      <c r="B442" s="2"/>
      <c r="C442" s="2"/>
      <c r="D442" s="2"/>
      <c r="E442" s="2"/>
      <c r="F442" s="2"/>
      <c r="G442" s="2"/>
    </row>
    <row r="443" ht="15.75" customHeight="1">
      <c r="A443" s="2"/>
      <c r="B443" s="2"/>
      <c r="C443" s="2"/>
      <c r="D443" s="2"/>
      <c r="E443" s="2"/>
      <c r="F443" s="2"/>
      <c r="G443" s="2"/>
    </row>
    <row r="444" ht="15.75" customHeight="1">
      <c r="A444" s="2"/>
      <c r="B444" s="2"/>
      <c r="C444" s="2"/>
      <c r="D444" s="2"/>
      <c r="E444" s="2"/>
      <c r="F444" s="2"/>
      <c r="G444" s="2"/>
    </row>
    <row r="445" ht="15.75" customHeight="1">
      <c r="A445" s="2"/>
      <c r="B445" s="2"/>
      <c r="C445" s="2"/>
      <c r="D445" s="2"/>
      <c r="E445" s="2"/>
      <c r="F445" s="2"/>
      <c r="G445" s="2"/>
    </row>
    <row r="446" ht="15.75" customHeight="1">
      <c r="A446" s="2"/>
      <c r="B446" s="2"/>
      <c r="C446" s="2"/>
      <c r="D446" s="2"/>
      <c r="E446" s="2"/>
      <c r="F446" s="2"/>
      <c r="G446" s="2"/>
    </row>
    <row r="447" ht="15.75" customHeight="1">
      <c r="A447" s="2"/>
      <c r="B447" s="2"/>
      <c r="C447" s="2"/>
      <c r="D447" s="2"/>
      <c r="E447" s="2"/>
      <c r="F447" s="2"/>
      <c r="G447" s="2"/>
    </row>
    <row r="448" ht="15.75" customHeight="1">
      <c r="A448" s="2"/>
      <c r="B448" s="2"/>
      <c r="C448" s="2"/>
      <c r="D448" s="2"/>
      <c r="E448" s="2"/>
      <c r="F448" s="2"/>
      <c r="G448" s="2"/>
    </row>
    <row r="449" ht="15.75" customHeight="1">
      <c r="A449" s="2"/>
      <c r="B449" s="2"/>
      <c r="C449" s="2"/>
      <c r="D449" s="2"/>
      <c r="E449" s="2"/>
      <c r="F449" s="2"/>
      <c r="G449" s="2"/>
    </row>
    <row r="450" ht="15.75" customHeight="1">
      <c r="A450" s="2"/>
      <c r="B450" s="2"/>
      <c r="C450" s="2"/>
      <c r="D450" s="2"/>
      <c r="E450" s="2"/>
      <c r="F450" s="2"/>
      <c r="G450" s="2"/>
    </row>
    <row r="451" ht="15.75" customHeight="1">
      <c r="A451" s="2"/>
      <c r="B451" s="2"/>
      <c r="C451" s="2"/>
      <c r="D451" s="2"/>
      <c r="E451" s="2"/>
      <c r="F451" s="2"/>
      <c r="G451" s="2"/>
    </row>
    <row r="452" ht="15.75" customHeight="1">
      <c r="A452" s="2"/>
      <c r="B452" s="2"/>
      <c r="C452" s="2"/>
      <c r="D452" s="2"/>
      <c r="E452" s="2"/>
      <c r="F452" s="2"/>
      <c r="G452" s="2"/>
    </row>
    <row r="453" ht="15.75" customHeight="1">
      <c r="A453" s="2"/>
      <c r="B453" s="2"/>
      <c r="C453" s="2"/>
      <c r="D453" s="2"/>
      <c r="E453" s="2"/>
      <c r="F453" s="2"/>
      <c r="G453" s="2"/>
    </row>
    <row r="454" ht="15.75" customHeight="1">
      <c r="A454" s="2"/>
      <c r="B454" s="2"/>
      <c r="C454" s="2"/>
      <c r="D454" s="2"/>
      <c r="E454" s="2"/>
      <c r="F454" s="2"/>
      <c r="G454" s="2"/>
    </row>
    <row r="455" ht="15.75" customHeight="1">
      <c r="A455" s="2"/>
      <c r="B455" s="2"/>
      <c r="C455" s="2"/>
      <c r="D455" s="2"/>
      <c r="E455" s="2"/>
      <c r="F455" s="2"/>
      <c r="G455" s="2"/>
    </row>
    <row r="456" ht="15.75" customHeight="1">
      <c r="A456" s="2"/>
      <c r="B456" s="2"/>
      <c r="C456" s="2"/>
      <c r="D456" s="2"/>
      <c r="E456" s="2"/>
      <c r="F456" s="2"/>
      <c r="G456" s="2"/>
    </row>
    <row r="457" ht="15.75" customHeight="1">
      <c r="A457" s="2"/>
      <c r="B457" s="2"/>
      <c r="C457" s="2"/>
      <c r="D457" s="2"/>
      <c r="E457" s="2"/>
      <c r="F457" s="2"/>
      <c r="G457" s="2"/>
    </row>
    <row r="458" ht="15.75" customHeight="1">
      <c r="A458" s="2"/>
      <c r="B458" s="2"/>
      <c r="C458" s="2"/>
      <c r="D458" s="2"/>
      <c r="E458" s="2"/>
      <c r="F458" s="2"/>
      <c r="G458" s="2"/>
    </row>
    <row r="459" ht="15.75" customHeight="1">
      <c r="A459" s="2"/>
      <c r="B459" s="2"/>
      <c r="C459" s="2"/>
      <c r="D459" s="2"/>
      <c r="E459" s="2"/>
      <c r="F459" s="2"/>
      <c r="G459" s="2"/>
    </row>
    <row r="460" ht="15.75" customHeight="1">
      <c r="A460" s="2"/>
      <c r="B460" s="2"/>
      <c r="C460" s="2"/>
      <c r="D460" s="2"/>
      <c r="E460" s="2"/>
      <c r="F460" s="2"/>
      <c r="G460" s="2"/>
    </row>
    <row r="461" ht="15.75" customHeight="1">
      <c r="A461" s="2"/>
      <c r="B461" s="2"/>
      <c r="C461" s="2"/>
      <c r="D461" s="2"/>
      <c r="E461" s="2"/>
      <c r="F461" s="2"/>
      <c r="G461" s="2"/>
    </row>
    <row r="462" ht="15.75" customHeight="1">
      <c r="A462" s="2"/>
      <c r="B462" s="2"/>
      <c r="C462" s="2"/>
      <c r="D462" s="2"/>
      <c r="E462" s="2"/>
      <c r="F462" s="2"/>
      <c r="G462" s="2"/>
    </row>
    <row r="463" ht="15.75" customHeight="1">
      <c r="A463" s="2"/>
      <c r="B463" s="2"/>
      <c r="C463" s="2"/>
      <c r="D463" s="2"/>
      <c r="E463" s="2"/>
      <c r="F463" s="2"/>
      <c r="G463" s="2"/>
    </row>
    <row r="464" ht="15.75" customHeight="1">
      <c r="A464" s="2"/>
      <c r="B464" s="2"/>
      <c r="C464" s="2"/>
      <c r="D464" s="2"/>
      <c r="E464" s="2"/>
      <c r="F464" s="2"/>
      <c r="G464" s="2"/>
    </row>
    <row r="465" ht="15.75" customHeight="1">
      <c r="A465" s="2"/>
      <c r="B465" s="2"/>
      <c r="C465" s="2"/>
      <c r="D465" s="2"/>
      <c r="E465" s="2"/>
      <c r="F465" s="2"/>
      <c r="G465" s="2"/>
    </row>
    <row r="466" ht="15.75" customHeight="1">
      <c r="A466" s="2"/>
      <c r="B466" s="2"/>
      <c r="C466" s="2"/>
      <c r="D466" s="2"/>
      <c r="E466" s="2"/>
      <c r="F466" s="2"/>
      <c r="G466" s="2"/>
    </row>
    <row r="467" ht="15.75" customHeight="1">
      <c r="A467" s="2"/>
      <c r="B467" s="2"/>
      <c r="C467" s="2"/>
      <c r="D467" s="2"/>
      <c r="E467" s="2"/>
      <c r="F467" s="2"/>
      <c r="G467" s="2"/>
    </row>
    <row r="468" ht="15.75" customHeight="1">
      <c r="A468" s="2"/>
      <c r="B468" s="2"/>
      <c r="C468" s="2"/>
      <c r="D468" s="2"/>
      <c r="E468" s="2"/>
      <c r="F468" s="2"/>
      <c r="G468" s="2"/>
    </row>
    <row r="469" ht="15.75" customHeight="1">
      <c r="A469" s="2"/>
      <c r="B469" s="2"/>
      <c r="C469" s="2"/>
      <c r="D469" s="2"/>
      <c r="E469" s="2"/>
      <c r="F469" s="2"/>
      <c r="G469" s="2"/>
    </row>
    <row r="470" ht="15.75" customHeight="1">
      <c r="A470" s="2"/>
      <c r="B470" s="2"/>
      <c r="C470" s="2"/>
      <c r="D470" s="2"/>
      <c r="E470" s="2"/>
      <c r="F470" s="2"/>
      <c r="G470" s="2"/>
    </row>
    <row r="471" ht="15.75" customHeight="1">
      <c r="A471" s="2"/>
      <c r="B471" s="2"/>
      <c r="C471" s="2"/>
      <c r="D471" s="2"/>
      <c r="E471" s="2"/>
      <c r="F471" s="2"/>
      <c r="G471" s="2"/>
    </row>
    <row r="472" ht="15.75" customHeight="1">
      <c r="A472" s="2"/>
      <c r="B472" s="2"/>
      <c r="C472" s="2"/>
      <c r="D472" s="2"/>
      <c r="E472" s="2"/>
      <c r="F472" s="2"/>
      <c r="G472" s="2"/>
    </row>
    <row r="473" ht="15.75" customHeight="1">
      <c r="A473" s="2"/>
      <c r="B473" s="2"/>
      <c r="C473" s="2"/>
      <c r="D473" s="2"/>
      <c r="E473" s="2"/>
      <c r="F473" s="2"/>
      <c r="G473" s="2"/>
    </row>
    <row r="474" ht="15.75" customHeight="1">
      <c r="A474" s="2"/>
      <c r="B474" s="2"/>
      <c r="C474" s="2"/>
      <c r="D474" s="2"/>
      <c r="E474" s="2"/>
      <c r="F474" s="2"/>
      <c r="G474" s="2"/>
    </row>
    <row r="475" ht="15.75" customHeight="1">
      <c r="A475" s="2"/>
      <c r="B475" s="2"/>
      <c r="C475" s="2"/>
      <c r="D475" s="2"/>
      <c r="E475" s="2"/>
      <c r="F475" s="2"/>
      <c r="G475" s="2"/>
    </row>
    <row r="476" ht="15.75" customHeight="1">
      <c r="A476" s="2"/>
      <c r="B476" s="2"/>
      <c r="C476" s="2"/>
      <c r="D476" s="2"/>
      <c r="E476" s="2"/>
      <c r="F476" s="2"/>
      <c r="G476" s="2"/>
    </row>
    <row r="477" ht="15.75" customHeight="1">
      <c r="A477" s="2"/>
      <c r="B477" s="2"/>
      <c r="C477" s="2"/>
      <c r="D477" s="2"/>
      <c r="E477" s="2"/>
      <c r="F477" s="2"/>
      <c r="G477" s="2"/>
    </row>
    <row r="478" ht="15.75" customHeight="1">
      <c r="A478" s="2"/>
      <c r="B478" s="2"/>
      <c r="C478" s="2"/>
      <c r="D478" s="2"/>
      <c r="E478" s="2"/>
      <c r="F478" s="2"/>
      <c r="G478" s="2"/>
    </row>
    <row r="479" ht="15.75" customHeight="1">
      <c r="A479" s="2"/>
      <c r="B479" s="2"/>
      <c r="C479" s="2"/>
      <c r="D479" s="2"/>
      <c r="E479" s="2"/>
      <c r="F479" s="2"/>
      <c r="G479" s="2"/>
    </row>
    <row r="480" ht="15.75" customHeight="1">
      <c r="A480" s="2"/>
      <c r="B480" s="2"/>
      <c r="C480" s="2"/>
      <c r="D480" s="2"/>
      <c r="E480" s="2"/>
      <c r="F480" s="2"/>
      <c r="G480" s="2"/>
    </row>
    <row r="481" ht="15.75" customHeight="1">
      <c r="A481" s="2"/>
      <c r="B481" s="2"/>
      <c r="C481" s="2"/>
      <c r="D481" s="2"/>
      <c r="E481" s="2"/>
      <c r="F481" s="2"/>
      <c r="G481" s="2"/>
    </row>
    <row r="482" ht="15.75" customHeight="1">
      <c r="A482" s="2"/>
      <c r="B482" s="2"/>
      <c r="C482" s="2"/>
      <c r="D482" s="2"/>
      <c r="E482" s="2"/>
      <c r="F482" s="2"/>
      <c r="G482" s="2"/>
    </row>
    <row r="483" ht="15.75" customHeight="1">
      <c r="A483" s="2"/>
      <c r="B483" s="2"/>
      <c r="C483" s="2"/>
      <c r="D483" s="2"/>
      <c r="E483" s="2"/>
      <c r="F483" s="2"/>
      <c r="G483" s="2"/>
    </row>
    <row r="484" ht="15.75" customHeight="1">
      <c r="A484" s="2"/>
      <c r="B484" s="2"/>
      <c r="C484" s="2"/>
      <c r="D484" s="2"/>
      <c r="E484" s="2"/>
      <c r="F484" s="2"/>
      <c r="G484" s="2"/>
    </row>
    <row r="485" ht="15.75" customHeight="1">
      <c r="A485" s="2"/>
      <c r="B485" s="2"/>
      <c r="C485" s="2"/>
      <c r="D485" s="2"/>
      <c r="E485" s="2"/>
      <c r="F485" s="2"/>
      <c r="G485" s="2"/>
    </row>
    <row r="486" ht="15.75" customHeight="1">
      <c r="A486" s="2"/>
      <c r="B486" s="2"/>
      <c r="C486" s="2"/>
      <c r="D486" s="2"/>
      <c r="E486" s="2"/>
      <c r="F486" s="2"/>
      <c r="G486" s="2"/>
    </row>
    <row r="487" ht="15.75" customHeight="1">
      <c r="A487" s="2"/>
      <c r="B487" s="2"/>
      <c r="C487" s="2"/>
      <c r="D487" s="2"/>
      <c r="E487" s="2"/>
      <c r="F487" s="2"/>
      <c r="G487" s="2"/>
    </row>
    <row r="488" ht="15.75" customHeight="1">
      <c r="A488" s="2"/>
      <c r="B488" s="2"/>
      <c r="C488" s="2"/>
      <c r="D488" s="2"/>
      <c r="E488" s="2"/>
      <c r="F488" s="2"/>
      <c r="G488" s="2"/>
    </row>
    <row r="489" ht="15.75" customHeight="1">
      <c r="A489" s="2"/>
      <c r="B489" s="2"/>
      <c r="C489" s="2"/>
      <c r="D489" s="2"/>
      <c r="E489" s="2"/>
      <c r="F489" s="2"/>
      <c r="G489" s="2"/>
    </row>
    <row r="490" ht="15.75" customHeight="1">
      <c r="A490" s="2"/>
      <c r="B490" s="2"/>
      <c r="C490" s="2"/>
      <c r="D490" s="2"/>
      <c r="E490" s="2"/>
      <c r="F490" s="2"/>
      <c r="G490" s="2"/>
    </row>
    <row r="491" ht="15.75" customHeight="1">
      <c r="A491" s="2"/>
      <c r="B491" s="2"/>
      <c r="C491" s="2"/>
      <c r="D491" s="2"/>
      <c r="E491" s="2"/>
      <c r="F491" s="2"/>
      <c r="G491" s="2"/>
    </row>
    <row r="492" ht="15.75" customHeight="1">
      <c r="A492" s="2"/>
      <c r="B492" s="2"/>
      <c r="C492" s="2"/>
      <c r="D492" s="2"/>
      <c r="E492" s="2"/>
      <c r="F492" s="2"/>
      <c r="G492" s="2"/>
    </row>
    <row r="493" ht="15.75" customHeight="1">
      <c r="A493" s="2"/>
      <c r="B493" s="2"/>
      <c r="C493" s="2"/>
      <c r="D493" s="2"/>
      <c r="E493" s="2"/>
      <c r="F493" s="2"/>
      <c r="G493" s="2"/>
    </row>
    <row r="494" ht="15.75" customHeight="1">
      <c r="A494" s="2"/>
      <c r="B494" s="2"/>
      <c r="C494" s="2"/>
      <c r="D494" s="2"/>
      <c r="E494" s="2"/>
      <c r="F494" s="2"/>
      <c r="G494" s="2"/>
    </row>
    <row r="495" ht="15.75" customHeight="1">
      <c r="A495" s="2"/>
      <c r="B495" s="2"/>
      <c r="C495" s="2"/>
      <c r="D495" s="2"/>
      <c r="E495" s="2"/>
      <c r="F495" s="2"/>
      <c r="G495" s="2"/>
    </row>
    <row r="496" ht="15.75" customHeight="1">
      <c r="A496" s="2"/>
      <c r="B496" s="2"/>
      <c r="C496" s="2"/>
      <c r="D496" s="2"/>
      <c r="E496" s="2"/>
      <c r="F496" s="2"/>
      <c r="G496" s="2"/>
    </row>
    <row r="497" ht="15.75" customHeight="1">
      <c r="A497" s="2"/>
      <c r="B497" s="2"/>
      <c r="C497" s="2"/>
      <c r="D497" s="2"/>
      <c r="E497" s="2"/>
      <c r="F497" s="2"/>
      <c r="G497" s="2"/>
    </row>
    <row r="498" ht="15.75" customHeight="1">
      <c r="A498" s="2"/>
      <c r="B498" s="2"/>
      <c r="C498" s="2"/>
      <c r="D498" s="2"/>
      <c r="E498" s="2"/>
      <c r="F498" s="2"/>
      <c r="G498" s="2"/>
    </row>
    <row r="499" ht="15.75" customHeight="1">
      <c r="A499" s="2"/>
      <c r="B499" s="2"/>
      <c r="C499" s="2"/>
      <c r="D499" s="2"/>
      <c r="E499" s="2"/>
      <c r="F499" s="2"/>
      <c r="G499" s="2"/>
    </row>
    <row r="500" ht="15.75" customHeight="1">
      <c r="A500" s="2"/>
      <c r="B500" s="2"/>
      <c r="C500" s="2"/>
      <c r="D500" s="2"/>
      <c r="E500" s="2"/>
      <c r="F500" s="2"/>
      <c r="G500" s="2"/>
    </row>
    <row r="501" ht="15.75" customHeight="1">
      <c r="A501" s="2"/>
      <c r="B501" s="2"/>
      <c r="C501" s="2"/>
      <c r="D501" s="2"/>
      <c r="E501" s="2"/>
      <c r="F501" s="2"/>
      <c r="G501" s="2"/>
    </row>
    <row r="502" ht="15.75" customHeight="1">
      <c r="A502" s="2"/>
      <c r="B502" s="2"/>
      <c r="C502" s="2"/>
      <c r="D502" s="2"/>
      <c r="E502" s="2"/>
      <c r="F502" s="2"/>
      <c r="G502" s="2"/>
    </row>
    <row r="503" ht="15.75" customHeight="1">
      <c r="A503" s="2"/>
      <c r="B503" s="2"/>
      <c r="C503" s="2"/>
      <c r="D503" s="2"/>
      <c r="E503" s="2"/>
      <c r="F503" s="2"/>
      <c r="G503" s="2"/>
    </row>
    <row r="504" ht="15.75" customHeight="1">
      <c r="A504" s="2"/>
      <c r="B504" s="2"/>
      <c r="C504" s="2"/>
      <c r="D504" s="2"/>
      <c r="E504" s="2"/>
      <c r="F504" s="2"/>
      <c r="G504" s="2"/>
    </row>
    <row r="505" ht="15.75" customHeight="1">
      <c r="A505" s="2"/>
      <c r="B505" s="2"/>
      <c r="C505" s="2"/>
      <c r="D505" s="2"/>
      <c r="E505" s="2"/>
      <c r="F505" s="2"/>
      <c r="G505" s="2"/>
    </row>
    <row r="506" ht="15.75" customHeight="1">
      <c r="A506" s="2"/>
      <c r="B506" s="2"/>
      <c r="C506" s="2"/>
      <c r="D506" s="2"/>
      <c r="E506" s="2"/>
      <c r="F506" s="2"/>
      <c r="G506" s="2"/>
    </row>
    <row r="507" ht="15.75" customHeight="1">
      <c r="A507" s="2"/>
      <c r="B507" s="2"/>
      <c r="C507" s="2"/>
      <c r="D507" s="2"/>
      <c r="E507" s="2"/>
      <c r="F507" s="2"/>
      <c r="G507" s="2"/>
    </row>
    <row r="508" ht="15.75" customHeight="1">
      <c r="A508" s="2"/>
      <c r="B508" s="2"/>
      <c r="C508" s="2"/>
      <c r="D508" s="2"/>
      <c r="E508" s="2"/>
      <c r="F508" s="2"/>
      <c r="G508" s="2"/>
    </row>
    <row r="509" ht="15.75" customHeight="1">
      <c r="A509" s="2"/>
      <c r="B509" s="2"/>
      <c r="C509" s="2"/>
      <c r="D509" s="2"/>
      <c r="E509" s="2"/>
      <c r="F509" s="2"/>
      <c r="G509" s="2"/>
    </row>
    <row r="510" ht="15.75" customHeight="1">
      <c r="A510" s="2"/>
      <c r="B510" s="2"/>
      <c r="C510" s="2"/>
      <c r="D510" s="2"/>
      <c r="E510" s="2"/>
      <c r="F510" s="2"/>
      <c r="G510" s="2"/>
    </row>
    <row r="511" ht="15.75" customHeight="1">
      <c r="A511" s="2"/>
      <c r="B511" s="2"/>
      <c r="C511" s="2"/>
      <c r="D511" s="2"/>
      <c r="E511" s="2"/>
      <c r="F511" s="2"/>
      <c r="G511" s="2"/>
    </row>
    <row r="512" ht="15.75" customHeight="1">
      <c r="A512" s="2"/>
      <c r="B512" s="2"/>
      <c r="C512" s="2"/>
      <c r="D512" s="2"/>
      <c r="E512" s="2"/>
      <c r="F512" s="2"/>
      <c r="G512" s="2"/>
    </row>
    <row r="513" ht="15.75" customHeight="1">
      <c r="A513" s="2"/>
      <c r="B513" s="2"/>
      <c r="C513" s="2"/>
      <c r="D513" s="2"/>
      <c r="E513" s="2"/>
      <c r="F513" s="2"/>
      <c r="G513" s="2"/>
    </row>
    <row r="514" ht="15.75" customHeight="1">
      <c r="A514" s="2"/>
      <c r="B514" s="2"/>
      <c r="C514" s="2"/>
      <c r="D514" s="2"/>
      <c r="E514" s="2"/>
      <c r="F514" s="2"/>
      <c r="G514" s="2"/>
    </row>
    <row r="515" ht="15.75" customHeight="1">
      <c r="A515" s="2"/>
      <c r="B515" s="2"/>
      <c r="C515" s="2"/>
      <c r="D515" s="2"/>
      <c r="E515" s="2"/>
      <c r="F515" s="2"/>
      <c r="G515" s="2"/>
    </row>
    <row r="516" ht="15.75" customHeight="1">
      <c r="A516" s="2"/>
      <c r="B516" s="2"/>
      <c r="C516" s="2"/>
      <c r="D516" s="2"/>
      <c r="E516" s="2"/>
      <c r="F516" s="2"/>
      <c r="G516" s="2"/>
    </row>
    <row r="517" ht="15.75" customHeight="1">
      <c r="A517" s="2"/>
      <c r="B517" s="2"/>
      <c r="C517" s="2"/>
      <c r="D517" s="2"/>
      <c r="E517" s="2"/>
      <c r="F517" s="2"/>
      <c r="G517" s="2"/>
    </row>
    <row r="518" ht="15.75" customHeight="1">
      <c r="A518" s="2"/>
      <c r="B518" s="2"/>
      <c r="C518" s="2"/>
      <c r="D518" s="2"/>
      <c r="E518" s="2"/>
      <c r="F518" s="2"/>
      <c r="G518" s="2"/>
    </row>
    <row r="519" ht="15.75" customHeight="1">
      <c r="A519" s="2"/>
      <c r="B519" s="2"/>
      <c r="C519" s="2"/>
      <c r="D519" s="2"/>
      <c r="E519" s="2"/>
      <c r="F519" s="2"/>
      <c r="G519" s="2"/>
    </row>
    <row r="520" ht="15.75" customHeight="1">
      <c r="A520" s="2"/>
      <c r="B520" s="2"/>
      <c r="C520" s="2"/>
      <c r="D520" s="2"/>
      <c r="E520" s="2"/>
      <c r="F520" s="2"/>
      <c r="G520" s="2"/>
    </row>
    <row r="521" ht="15.75" customHeight="1">
      <c r="A521" s="2"/>
      <c r="B521" s="2"/>
      <c r="C521" s="2"/>
      <c r="D521" s="2"/>
      <c r="E521" s="2"/>
      <c r="F521" s="2"/>
      <c r="G521" s="2"/>
    </row>
    <row r="522" ht="15.75" customHeight="1">
      <c r="A522" s="2"/>
      <c r="B522" s="2"/>
      <c r="C522" s="2"/>
      <c r="D522" s="2"/>
      <c r="E522" s="2"/>
      <c r="F522" s="2"/>
      <c r="G522" s="2"/>
    </row>
    <row r="523" ht="15.75" customHeight="1">
      <c r="A523" s="2"/>
      <c r="B523" s="2"/>
      <c r="C523" s="2"/>
      <c r="D523" s="2"/>
      <c r="E523" s="2"/>
      <c r="F523" s="2"/>
      <c r="G523" s="2"/>
    </row>
    <row r="524" ht="15.75" customHeight="1">
      <c r="A524" s="2"/>
      <c r="B524" s="2"/>
      <c r="C524" s="2"/>
      <c r="D524" s="2"/>
      <c r="E524" s="2"/>
      <c r="F524" s="2"/>
      <c r="G524" s="2"/>
    </row>
    <row r="525" ht="15.75" customHeight="1">
      <c r="A525" s="2"/>
      <c r="B525" s="2"/>
      <c r="C525" s="2"/>
      <c r="D525" s="2"/>
      <c r="E525" s="2"/>
      <c r="F525" s="2"/>
      <c r="G525" s="2"/>
    </row>
    <row r="526" ht="15.75" customHeight="1">
      <c r="A526" s="2"/>
      <c r="B526" s="2"/>
      <c r="C526" s="2"/>
      <c r="D526" s="2"/>
      <c r="E526" s="2"/>
      <c r="F526" s="2"/>
      <c r="G526" s="2"/>
    </row>
    <row r="527" ht="15.75" customHeight="1">
      <c r="A527" s="2"/>
      <c r="B527" s="2"/>
      <c r="C527" s="2"/>
      <c r="D527" s="2"/>
      <c r="E527" s="2"/>
      <c r="F527" s="2"/>
      <c r="G527" s="2"/>
    </row>
    <row r="528" ht="15.75" customHeight="1">
      <c r="A528" s="2"/>
      <c r="B528" s="2"/>
      <c r="C528" s="2"/>
      <c r="D528" s="2"/>
      <c r="E528" s="2"/>
      <c r="F528" s="2"/>
      <c r="G528" s="2"/>
    </row>
    <row r="529" ht="15.75" customHeight="1">
      <c r="A529" s="2"/>
      <c r="B529" s="2"/>
      <c r="C529" s="2"/>
      <c r="D529" s="2"/>
      <c r="E529" s="2"/>
      <c r="F529" s="2"/>
      <c r="G529" s="2"/>
    </row>
    <row r="530" ht="15.75" customHeight="1">
      <c r="A530" s="2"/>
      <c r="B530" s="2"/>
      <c r="C530" s="2"/>
      <c r="D530" s="2"/>
      <c r="E530" s="2"/>
      <c r="F530" s="2"/>
      <c r="G530" s="2"/>
    </row>
    <row r="531" ht="15.75" customHeight="1">
      <c r="A531" s="2"/>
      <c r="B531" s="2"/>
      <c r="C531" s="2"/>
      <c r="D531" s="2"/>
      <c r="E531" s="2"/>
      <c r="F531" s="2"/>
      <c r="G531" s="2"/>
    </row>
    <row r="532" ht="15.75" customHeight="1">
      <c r="A532" s="2"/>
      <c r="B532" s="2"/>
      <c r="C532" s="2"/>
      <c r="D532" s="2"/>
      <c r="E532" s="2"/>
      <c r="F532" s="2"/>
      <c r="G532" s="2"/>
    </row>
    <row r="533" ht="15.75" customHeight="1">
      <c r="A533" s="2"/>
      <c r="B533" s="2"/>
      <c r="C533" s="2"/>
      <c r="D533" s="2"/>
      <c r="E533" s="2"/>
      <c r="F533" s="2"/>
      <c r="G533" s="2"/>
    </row>
    <row r="534" ht="15.75" customHeight="1">
      <c r="A534" s="2"/>
      <c r="B534" s="2"/>
      <c r="C534" s="2"/>
      <c r="D534" s="2"/>
      <c r="E534" s="2"/>
      <c r="F534" s="2"/>
      <c r="G534" s="2"/>
    </row>
    <row r="535" ht="15.75" customHeight="1">
      <c r="A535" s="2"/>
      <c r="B535" s="2"/>
      <c r="C535" s="2"/>
      <c r="D535" s="2"/>
      <c r="E535" s="2"/>
      <c r="F535" s="2"/>
      <c r="G535" s="2"/>
    </row>
    <row r="536" ht="15.75" customHeight="1">
      <c r="A536" s="2"/>
      <c r="B536" s="2"/>
      <c r="C536" s="2"/>
      <c r="D536" s="2"/>
      <c r="E536" s="2"/>
      <c r="F536" s="2"/>
      <c r="G536" s="2"/>
    </row>
    <row r="537" ht="15.75" customHeight="1">
      <c r="A537" s="2"/>
      <c r="B537" s="2"/>
      <c r="C537" s="2"/>
      <c r="D537" s="2"/>
      <c r="E537" s="2"/>
      <c r="F537" s="2"/>
      <c r="G537" s="2"/>
    </row>
    <row r="538" ht="15.75" customHeight="1">
      <c r="A538" s="2"/>
      <c r="B538" s="2"/>
      <c r="C538" s="2"/>
      <c r="D538" s="2"/>
      <c r="E538" s="2"/>
      <c r="F538" s="2"/>
      <c r="G538" s="2"/>
    </row>
    <row r="539" ht="15.75" customHeight="1">
      <c r="A539" s="2"/>
      <c r="B539" s="2"/>
      <c r="C539" s="2"/>
      <c r="D539" s="2"/>
      <c r="E539" s="2"/>
      <c r="F539" s="2"/>
      <c r="G539" s="2"/>
    </row>
    <row r="540" ht="15.75" customHeight="1">
      <c r="A540" s="2"/>
      <c r="B540" s="2"/>
      <c r="C540" s="2"/>
      <c r="D540" s="2"/>
      <c r="E540" s="2"/>
      <c r="F540" s="2"/>
      <c r="G540" s="2"/>
    </row>
    <row r="541" ht="15.75" customHeight="1">
      <c r="A541" s="2"/>
      <c r="B541" s="2"/>
      <c r="C541" s="2"/>
      <c r="D541" s="2"/>
      <c r="E541" s="2"/>
      <c r="F541" s="2"/>
      <c r="G541" s="2"/>
    </row>
    <row r="542" ht="15.75" customHeight="1">
      <c r="A542" s="2"/>
      <c r="B542" s="2"/>
      <c r="C542" s="2"/>
      <c r="D542" s="2"/>
      <c r="E542" s="2"/>
      <c r="F542" s="2"/>
      <c r="G542" s="2"/>
    </row>
    <row r="543" ht="15.75" customHeight="1">
      <c r="A543" s="2"/>
      <c r="B543" s="2"/>
      <c r="C543" s="2"/>
      <c r="D543" s="2"/>
      <c r="E543" s="2"/>
      <c r="F543" s="2"/>
      <c r="G543" s="2"/>
    </row>
    <row r="544" ht="15.75" customHeight="1">
      <c r="A544" s="2"/>
      <c r="B544" s="2"/>
      <c r="C544" s="2"/>
      <c r="D544" s="2"/>
      <c r="E544" s="2"/>
      <c r="F544" s="2"/>
      <c r="G544" s="2"/>
    </row>
    <row r="545" ht="15.75" customHeight="1">
      <c r="A545" s="2"/>
      <c r="B545" s="2"/>
      <c r="C545" s="2"/>
      <c r="D545" s="2"/>
      <c r="E545" s="2"/>
      <c r="F545" s="2"/>
      <c r="G545" s="2"/>
    </row>
    <row r="546" ht="15.75" customHeight="1">
      <c r="A546" s="2"/>
      <c r="B546" s="2"/>
      <c r="C546" s="2"/>
      <c r="D546" s="2"/>
      <c r="E546" s="2"/>
      <c r="F546" s="2"/>
      <c r="G546" s="2"/>
    </row>
    <row r="547" ht="15.75" customHeight="1">
      <c r="A547" s="2"/>
      <c r="B547" s="2"/>
      <c r="C547" s="2"/>
      <c r="D547" s="2"/>
      <c r="E547" s="2"/>
      <c r="F547" s="2"/>
      <c r="G547" s="2"/>
    </row>
    <row r="548" ht="15.75" customHeight="1">
      <c r="A548" s="2"/>
      <c r="B548" s="2"/>
      <c r="C548" s="2"/>
      <c r="D548" s="2"/>
      <c r="E548" s="2"/>
      <c r="F548" s="2"/>
      <c r="G548" s="2"/>
    </row>
    <row r="549" ht="15.75" customHeight="1">
      <c r="A549" s="2"/>
      <c r="B549" s="2"/>
      <c r="C549" s="2"/>
      <c r="D549" s="2"/>
      <c r="E549" s="2"/>
      <c r="F549" s="2"/>
      <c r="G549" s="2"/>
    </row>
    <row r="550" ht="15.75" customHeight="1">
      <c r="A550" s="2"/>
      <c r="B550" s="2"/>
      <c r="C550" s="2"/>
      <c r="D550" s="2"/>
      <c r="E550" s="2"/>
      <c r="F550" s="2"/>
      <c r="G550" s="2"/>
    </row>
    <row r="551" ht="15.75" customHeight="1">
      <c r="A551" s="2"/>
      <c r="B551" s="2"/>
      <c r="C551" s="2"/>
      <c r="D551" s="2"/>
      <c r="E551" s="2"/>
      <c r="F551" s="2"/>
      <c r="G551" s="2"/>
    </row>
    <row r="552" ht="15.75" customHeight="1">
      <c r="A552" s="2"/>
      <c r="B552" s="2"/>
      <c r="C552" s="2"/>
      <c r="D552" s="2"/>
      <c r="E552" s="2"/>
      <c r="F552" s="2"/>
      <c r="G552" s="2"/>
    </row>
    <row r="553" ht="15.75" customHeight="1">
      <c r="A553" s="2"/>
      <c r="B553" s="2"/>
      <c r="C553" s="2"/>
      <c r="D553" s="2"/>
      <c r="E553" s="2"/>
      <c r="F553" s="2"/>
      <c r="G553" s="2"/>
    </row>
    <row r="554" ht="15.75" customHeight="1">
      <c r="A554" s="2"/>
      <c r="B554" s="2"/>
      <c r="C554" s="2"/>
      <c r="D554" s="2"/>
      <c r="E554" s="2"/>
      <c r="F554" s="2"/>
      <c r="G554" s="2"/>
    </row>
    <row r="555" ht="15.75" customHeight="1">
      <c r="A555" s="2"/>
      <c r="B555" s="2"/>
      <c r="C555" s="2"/>
      <c r="D555" s="2"/>
      <c r="E555" s="2"/>
      <c r="F555" s="2"/>
      <c r="G555" s="2"/>
    </row>
    <row r="556" ht="15.75" customHeight="1">
      <c r="A556" s="2"/>
      <c r="B556" s="2"/>
      <c r="C556" s="2"/>
      <c r="D556" s="2"/>
      <c r="E556" s="2"/>
      <c r="F556" s="2"/>
      <c r="G556" s="2"/>
    </row>
    <row r="557" ht="15.75" customHeight="1">
      <c r="A557" s="2"/>
      <c r="B557" s="2"/>
      <c r="C557" s="2"/>
      <c r="D557" s="2"/>
      <c r="E557" s="2"/>
      <c r="F557" s="2"/>
      <c r="G557" s="2"/>
    </row>
    <row r="558" ht="15.75" customHeight="1">
      <c r="A558" s="2"/>
      <c r="B558" s="2"/>
      <c r="C558" s="2"/>
      <c r="D558" s="2"/>
      <c r="E558" s="2"/>
      <c r="F558" s="2"/>
      <c r="G558" s="2"/>
    </row>
    <row r="559" ht="15.75" customHeight="1">
      <c r="A559" s="2"/>
      <c r="B559" s="2"/>
      <c r="C559" s="2"/>
      <c r="D559" s="2"/>
      <c r="E559" s="2"/>
      <c r="F559" s="2"/>
      <c r="G559" s="2"/>
    </row>
    <row r="560" ht="15.75" customHeight="1">
      <c r="A560" s="2"/>
      <c r="B560" s="2"/>
      <c r="C560" s="2"/>
      <c r="D560" s="2"/>
      <c r="E560" s="2"/>
      <c r="F560" s="2"/>
      <c r="G560" s="2"/>
    </row>
    <row r="561" ht="15.75" customHeight="1">
      <c r="A561" s="2"/>
      <c r="B561" s="2"/>
      <c r="C561" s="2"/>
      <c r="D561" s="2"/>
      <c r="E561" s="2"/>
      <c r="F561" s="2"/>
      <c r="G561" s="2"/>
    </row>
    <row r="562" ht="15.75" customHeight="1">
      <c r="A562" s="2"/>
      <c r="B562" s="2"/>
      <c r="C562" s="2"/>
      <c r="D562" s="2"/>
      <c r="E562" s="2"/>
      <c r="F562" s="2"/>
      <c r="G562" s="2"/>
    </row>
    <row r="563" ht="15.75" customHeight="1">
      <c r="A563" s="2"/>
      <c r="B563" s="2"/>
      <c r="C563" s="2"/>
      <c r="D563" s="2"/>
      <c r="E563" s="2"/>
      <c r="F563" s="2"/>
      <c r="G563" s="2"/>
    </row>
    <row r="564" ht="15.75" customHeight="1">
      <c r="A564" s="2"/>
      <c r="B564" s="2"/>
      <c r="C564" s="2"/>
      <c r="D564" s="2"/>
      <c r="E564" s="2"/>
      <c r="F564" s="2"/>
      <c r="G564" s="2"/>
    </row>
    <row r="565" ht="15.75" customHeight="1">
      <c r="A565" s="2"/>
      <c r="B565" s="2"/>
      <c r="C565" s="2"/>
      <c r="D565" s="2"/>
      <c r="E565" s="2"/>
      <c r="F565" s="2"/>
      <c r="G565" s="2"/>
    </row>
    <row r="566" ht="15.75" customHeight="1">
      <c r="A566" s="2"/>
      <c r="B566" s="2"/>
      <c r="C566" s="2"/>
      <c r="D566" s="2"/>
      <c r="E566" s="2"/>
      <c r="F566" s="2"/>
      <c r="G566" s="2"/>
    </row>
    <row r="567" ht="15.75" customHeight="1">
      <c r="A567" s="2"/>
      <c r="B567" s="2"/>
      <c r="C567" s="2"/>
      <c r="D567" s="2"/>
      <c r="E567" s="2"/>
      <c r="F567" s="2"/>
      <c r="G567" s="2"/>
    </row>
    <row r="568" ht="15.75" customHeight="1">
      <c r="A568" s="2"/>
      <c r="B568" s="2"/>
      <c r="C568" s="2"/>
      <c r="D568" s="2"/>
      <c r="E568" s="2"/>
      <c r="F568" s="2"/>
      <c r="G568" s="2"/>
    </row>
    <row r="569" ht="15.75" customHeight="1">
      <c r="A569" s="2"/>
      <c r="B569" s="2"/>
      <c r="C569" s="2"/>
      <c r="D569" s="2"/>
      <c r="E569" s="2"/>
      <c r="F569" s="2"/>
      <c r="G569" s="2"/>
    </row>
    <row r="570" ht="15.75" customHeight="1">
      <c r="A570" s="2"/>
      <c r="B570" s="2"/>
      <c r="C570" s="2"/>
      <c r="D570" s="2"/>
      <c r="E570" s="2"/>
      <c r="F570" s="2"/>
      <c r="G570" s="2"/>
    </row>
    <row r="571" ht="15.75" customHeight="1">
      <c r="A571" s="2"/>
      <c r="B571" s="2"/>
      <c r="C571" s="2"/>
      <c r="D571" s="2"/>
      <c r="E571" s="2"/>
      <c r="F571" s="2"/>
      <c r="G571" s="2"/>
    </row>
    <row r="572" ht="15.75" customHeight="1">
      <c r="A572" s="2"/>
      <c r="B572" s="2"/>
      <c r="C572" s="2"/>
      <c r="D572" s="2"/>
      <c r="E572" s="2"/>
      <c r="F572" s="2"/>
      <c r="G572" s="2"/>
    </row>
    <row r="573" ht="15.75" customHeight="1">
      <c r="A573" s="2"/>
      <c r="B573" s="2"/>
      <c r="C573" s="2"/>
      <c r="D573" s="2"/>
      <c r="E573" s="2"/>
      <c r="F573" s="2"/>
      <c r="G573" s="2"/>
    </row>
    <row r="574" ht="15.75" customHeight="1">
      <c r="A574" s="2"/>
      <c r="B574" s="2"/>
      <c r="C574" s="2"/>
      <c r="D574" s="2"/>
      <c r="E574" s="2"/>
      <c r="F574" s="2"/>
      <c r="G574" s="2"/>
    </row>
    <row r="575" ht="15.75" customHeight="1">
      <c r="A575" s="2"/>
      <c r="B575" s="2"/>
      <c r="C575" s="2"/>
      <c r="D575" s="2"/>
      <c r="E575" s="2"/>
      <c r="F575" s="2"/>
      <c r="G575" s="2"/>
    </row>
    <row r="576" ht="15.75" customHeight="1">
      <c r="A576" s="2"/>
      <c r="B576" s="2"/>
      <c r="C576" s="2"/>
      <c r="D576" s="2"/>
      <c r="E576" s="2"/>
      <c r="F576" s="2"/>
      <c r="G576" s="2"/>
    </row>
    <row r="577" ht="15.75" customHeight="1">
      <c r="A577" s="2"/>
      <c r="B577" s="2"/>
      <c r="C577" s="2"/>
      <c r="D577" s="2"/>
      <c r="E577" s="2"/>
      <c r="F577" s="2"/>
      <c r="G577" s="2"/>
    </row>
    <row r="578" ht="15.75" customHeight="1">
      <c r="A578" s="2"/>
      <c r="B578" s="2"/>
      <c r="C578" s="2"/>
      <c r="D578" s="2"/>
      <c r="E578" s="2"/>
      <c r="F578" s="2"/>
      <c r="G578" s="2"/>
    </row>
    <row r="579" ht="15.75" customHeight="1">
      <c r="A579" s="2"/>
      <c r="B579" s="2"/>
      <c r="C579" s="2"/>
      <c r="D579" s="2"/>
      <c r="E579" s="2"/>
      <c r="F579" s="2"/>
      <c r="G579" s="2"/>
    </row>
    <row r="580" ht="15.75" customHeight="1">
      <c r="A580" s="2"/>
      <c r="B580" s="2"/>
      <c r="C580" s="2"/>
      <c r="D580" s="2"/>
      <c r="E580" s="2"/>
      <c r="F580" s="2"/>
      <c r="G580" s="2"/>
    </row>
    <row r="581" ht="15.75" customHeight="1">
      <c r="A581" s="2"/>
      <c r="B581" s="2"/>
      <c r="C581" s="2"/>
      <c r="D581" s="2"/>
      <c r="E581" s="2"/>
      <c r="F581" s="2"/>
      <c r="G581" s="2"/>
    </row>
    <row r="582" ht="15.75" customHeight="1">
      <c r="A582" s="2"/>
      <c r="B582" s="2"/>
      <c r="C582" s="2"/>
      <c r="D582" s="2"/>
      <c r="E582" s="2"/>
      <c r="F582" s="2"/>
      <c r="G582" s="2"/>
    </row>
    <row r="583" ht="15.75" customHeight="1">
      <c r="A583" s="2"/>
      <c r="B583" s="2"/>
      <c r="C583" s="2"/>
      <c r="D583" s="2"/>
      <c r="E583" s="2"/>
      <c r="F583" s="2"/>
      <c r="G583" s="2"/>
    </row>
    <row r="584" ht="15.75" customHeight="1">
      <c r="A584" s="2"/>
      <c r="B584" s="2"/>
      <c r="C584" s="2"/>
      <c r="D584" s="2"/>
      <c r="E584" s="2"/>
      <c r="F584" s="2"/>
      <c r="G584" s="2"/>
    </row>
    <row r="585" ht="15.75" customHeight="1">
      <c r="A585" s="2"/>
      <c r="B585" s="2"/>
      <c r="C585" s="2"/>
      <c r="D585" s="2"/>
      <c r="E585" s="2"/>
      <c r="F585" s="2"/>
      <c r="G585" s="2"/>
    </row>
    <row r="586" ht="15.75" customHeight="1">
      <c r="A586" s="2"/>
      <c r="B586" s="2"/>
      <c r="C586" s="2"/>
      <c r="D586" s="2"/>
      <c r="E586" s="2"/>
      <c r="F586" s="2"/>
      <c r="G586" s="2"/>
    </row>
    <row r="587" ht="15.75" customHeight="1">
      <c r="A587" s="2"/>
      <c r="B587" s="2"/>
      <c r="C587" s="2"/>
      <c r="D587" s="2"/>
      <c r="E587" s="2"/>
      <c r="F587" s="2"/>
      <c r="G587" s="2"/>
    </row>
    <row r="588" ht="15.75" customHeight="1">
      <c r="A588" s="2"/>
      <c r="B588" s="2"/>
      <c r="C588" s="2"/>
      <c r="D588" s="2"/>
      <c r="E588" s="2"/>
      <c r="F588" s="2"/>
      <c r="G588" s="2"/>
    </row>
    <row r="589" ht="15.75" customHeight="1">
      <c r="A589" s="2"/>
      <c r="B589" s="2"/>
      <c r="C589" s="2"/>
      <c r="D589" s="2"/>
      <c r="E589" s="2"/>
      <c r="F589" s="2"/>
      <c r="G589" s="2"/>
    </row>
    <row r="590" ht="15.75" customHeight="1">
      <c r="A590" s="2"/>
      <c r="B590" s="2"/>
      <c r="C590" s="2"/>
      <c r="D590" s="2"/>
      <c r="E590" s="2"/>
      <c r="F590" s="2"/>
      <c r="G590" s="2"/>
    </row>
    <row r="591" ht="15.75" customHeight="1">
      <c r="A591" s="2"/>
      <c r="B591" s="2"/>
      <c r="C591" s="2"/>
      <c r="D591" s="2"/>
      <c r="E591" s="2"/>
      <c r="F591" s="2"/>
      <c r="G591" s="2"/>
    </row>
    <row r="592" ht="15.75" customHeight="1">
      <c r="A592" s="2"/>
      <c r="B592" s="2"/>
      <c r="C592" s="2"/>
      <c r="D592" s="2"/>
      <c r="E592" s="2"/>
      <c r="F592" s="2"/>
      <c r="G592" s="2"/>
    </row>
    <row r="593" ht="15.75" customHeight="1">
      <c r="A593" s="2"/>
      <c r="B593" s="2"/>
      <c r="C593" s="2"/>
      <c r="D593" s="2"/>
      <c r="E593" s="2"/>
      <c r="F593" s="2"/>
      <c r="G593" s="2"/>
    </row>
    <row r="594" ht="15.75" customHeight="1">
      <c r="A594" s="2"/>
      <c r="B594" s="2"/>
      <c r="C594" s="2"/>
      <c r="D594" s="2"/>
      <c r="E594" s="2"/>
      <c r="F594" s="2"/>
      <c r="G594" s="2"/>
    </row>
    <row r="595" ht="15.75" customHeight="1">
      <c r="A595" s="2"/>
      <c r="B595" s="2"/>
      <c r="C595" s="2"/>
      <c r="D595" s="2"/>
      <c r="E595" s="2"/>
      <c r="F595" s="2"/>
      <c r="G595" s="2"/>
    </row>
    <row r="596" ht="15.75" customHeight="1">
      <c r="A596" s="2"/>
      <c r="B596" s="2"/>
      <c r="C596" s="2"/>
      <c r="D596" s="2"/>
      <c r="E596" s="2"/>
      <c r="F596" s="2"/>
      <c r="G596" s="2"/>
    </row>
    <row r="597" ht="15.75" customHeight="1">
      <c r="A597" s="2"/>
      <c r="B597" s="2"/>
      <c r="C597" s="2"/>
      <c r="D597" s="2"/>
      <c r="E597" s="2"/>
      <c r="F597" s="2"/>
      <c r="G597" s="2"/>
    </row>
    <row r="598" ht="15.75" customHeight="1">
      <c r="A598" s="2"/>
      <c r="B598" s="2"/>
      <c r="C598" s="2"/>
      <c r="D598" s="2"/>
      <c r="E598" s="2"/>
      <c r="F598" s="2"/>
      <c r="G598" s="2"/>
    </row>
    <row r="599" ht="15.75" customHeight="1">
      <c r="A599" s="2"/>
      <c r="B599" s="2"/>
      <c r="C599" s="2"/>
      <c r="D599" s="2"/>
      <c r="E599" s="2"/>
      <c r="F599" s="2"/>
      <c r="G599" s="2"/>
    </row>
    <row r="600" ht="15.75" customHeight="1">
      <c r="A600" s="2"/>
      <c r="B600" s="2"/>
      <c r="C600" s="2"/>
      <c r="D600" s="2"/>
      <c r="E600" s="2"/>
      <c r="F600" s="2"/>
      <c r="G600" s="2"/>
    </row>
    <row r="601" ht="15.75" customHeight="1">
      <c r="A601" s="2"/>
      <c r="B601" s="2"/>
      <c r="C601" s="2"/>
      <c r="D601" s="2"/>
      <c r="E601" s="2"/>
      <c r="F601" s="2"/>
      <c r="G601" s="2"/>
    </row>
    <row r="602" ht="15.75" customHeight="1">
      <c r="A602" s="2"/>
      <c r="B602" s="2"/>
      <c r="C602" s="2"/>
      <c r="D602" s="2"/>
      <c r="E602" s="2"/>
      <c r="F602" s="2"/>
      <c r="G602" s="2"/>
    </row>
    <row r="603" ht="15.75" customHeight="1">
      <c r="A603" s="2"/>
      <c r="B603" s="2"/>
      <c r="C603" s="2"/>
      <c r="D603" s="2"/>
      <c r="E603" s="2"/>
      <c r="F603" s="2"/>
      <c r="G603" s="2"/>
    </row>
    <row r="604" ht="15.75" customHeight="1">
      <c r="A604" s="2"/>
      <c r="B604" s="2"/>
      <c r="C604" s="2"/>
      <c r="D604" s="2"/>
      <c r="E604" s="2"/>
      <c r="F604" s="2"/>
      <c r="G604" s="2"/>
    </row>
    <row r="605" ht="15.75" customHeight="1">
      <c r="A605" s="2"/>
      <c r="B605" s="2"/>
      <c r="C605" s="2"/>
      <c r="D605" s="2"/>
      <c r="E605" s="2"/>
      <c r="F605" s="2"/>
      <c r="G605" s="2"/>
    </row>
    <row r="606" ht="15.75" customHeight="1">
      <c r="A606" s="2"/>
      <c r="B606" s="2"/>
      <c r="C606" s="2"/>
      <c r="D606" s="2"/>
      <c r="E606" s="2"/>
      <c r="F606" s="2"/>
      <c r="G606" s="2"/>
    </row>
    <row r="607" ht="15.75" customHeight="1">
      <c r="A607" s="2"/>
      <c r="B607" s="2"/>
      <c r="C607" s="2"/>
      <c r="D607" s="2"/>
      <c r="E607" s="2"/>
      <c r="F607" s="2"/>
      <c r="G607" s="2"/>
    </row>
    <row r="608" ht="15.75" customHeight="1">
      <c r="A608" s="2"/>
      <c r="B608" s="2"/>
      <c r="C608" s="2"/>
      <c r="D608" s="2"/>
      <c r="E608" s="2"/>
      <c r="F608" s="2"/>
      <c r="G608" s="2"/>
    </row>
    <row r="609" ht="15.75" customHeight="1">
      <c r="A609" s="2"/>
      <c r="B609" s="2"/>
      <c r="C609" s="2"/>
      <c r="D609" s="2"/>
      <c r="E609" s="2"/>
      <c r="F609" s="2"/>
      <c r="G609" s="2"/>
    </row>
    <row r="610" ht="15.75" customHeight="1">
      <c r="A610" s="2"/>
      <c r="B610" s="2"/>
      <c r="C610" s="2"/>
      <c r="D610" s="2"/>
      <c r="E610" s="2"/>
      <c r="F610" s="2"/>
      <c r="G610" s="2"/>
    </row>
    <row r="611" ht="15.75" customHeight="1">
      <c r="A611" s="2"/>
      <c r="B611" s="2"/>
      <c r="C611" s="2"/>
      <c r="D611" s="2"/>
      <c r="E611" s="2"/>
      <c r="F611" s="2"/>
      <c r="G611" s="2"/>
    </row>
    <row r="612" ht="15.75" customHeight="1">
      <c r="A612" s="2"/>
      <c r="B612" s="2"/>
      <c r="C612" s="2"/>
      <c r="D612" s="2"/>
      <c r="E612" s="2"/>
      <c r="F612" s="2"/>
      <c r="G612" s="2"/>
    </row>
    <row r="613" ht="15.75" customHeight="1">
      <c r="A613" s="2"/>
      <c r="B613" s="2"/>
      <c r="C613" s="2"/>
      <c r="D613" s="2"/>
      <c r="E613" s="2"/>
      <c r="F613" s="2"/>
      <c r="G613" s="2"/>
    </row>
    <row r="614" ht="15.75" customHeight="1">
      <c r="A614" s="2"/>
      <c r="B614" s="2"/>
      <c r="C614" s="2"/>
      <c r="D614" s="2"/>
      <c r="E614" s="2"/>
      <c r="F614" s="2"/>
      <c r="G614" s="2"/>
    </row>
    <row r="615" ht="15.75" customHeight="1">
      <c r="A615" s="2"/>
      <c r="B615" s="2"/>
      <c r="C615" s="2"/>
      <c r="D615" s="2"/>
      <c r="E615" s="2"/>
      <c r="F615" s="2"/>
      <c r="G615" s="2"/>
    </row>
    <row r="616" ht="15.75" customHeight="1">
      <c r="A616" s="2"/>
      <c r="B616" s="2"/>
      <c r="C616" s="2"/>
      <c r="D616" s="2"/>
      <c r="E616" s="2"/>
      <c r="F616" s="2"/>
      <c r="G616" s="2"/>
    </row>
    <row r="617" ht="15.75" customHeight="1">
      <c r="A617" s="2"/>
      <c r="B617" s="2"/>
      <c r="C617" s="2"/>
      <c r="D617" s="2"/>
      <c r="E617" s="2"/>
      <c r="F617" s="2"/>
      <c r="G617" s="2"/>
    </row>
    <row r="618" ht="15.75" customHeight="1">
      <c r="A618" s="2"/>
      <c r="B618" s="2"/>
      <c r="C618" s="2"/>
      <c r="D618" s="2"/>
      <c r="E618" s="2"/>
      <c r="F618" s="2"/>
      <c r="G618" s="2"/>
    </row>
    <row r="619" ht="15.75" customHeight="1">
      <c r="A619" s="2"/>
      <c r="B619" s="2"/>
      <c r="C619" s="2"/>
      <c r="D619" s="2"/>
      <c r="E619" s="2"/>
      <c r="F619" s="2"/>
      <c r="G619" s="2"/>
    </row>
    <row r="620" ht="15.75" customHeight="1">
      <c r="A620" s="2"/>
      <c r="B620" s="2"/>
      <c r="C620" s="2"/>
      <c r="D620" s="2"/>
      <c r="E620" s="2"/>
      <c r="F620" s="2"/>
      <c r="G620" s="2"/>
    </row>
    <row r="621" ht="15.75" customHeight="1">
      <c r="A621" s="2"/>
      <c r="B621" s="2"/>
      <c r="C621" s="2"/>
      <c r="D621" s="2"/>
      <c r="E621" s="2"/>
      <c r="F621" s="2"/>
      <c r="G621" s="2"/>
    </row>
    <row r="622" ht="15.75" customHeight="1">
      <c r="A622" s="2"/>
      <c r="B622" s="2"/>
      <c r="C622" s="2"/>
      <c r="D622" s="2"/>
      <c r="E622" s="2"/>
      <c r="F622" s="2"/>
      <c r="G622" s="2"/>
    </row>
    <row r="623" ht="15.75" customHeight="1">
      <c r="A623" s="2"/>
      <c r="B623" s="2"/>
      <c r="C623" s="2"/>
      <c r="D623" s="2"/>
      <c r="E623" s="2"/>
      <c r="F623" s="2"/>
      <c r="G623" s="2"/>
    </row>
    <row r="624" ht="15.75" customHeight="1">
      <c r="A624" s="2"/>
      <c r="B624" s="2"/>
      <c r="C624" s="2"/>
      <c r="D624" s="2"/>
      <c r="E624" s="2"/>
      <c r="F624" s="2"/>
      <c r="G624" s="2"/>
    </row>
    <row r="625" ht="15.75" customHeight="1">
      <c r="A625" s="2"/>
      <c r="B625" s="2"/>
      <c r="C625" s="2"/>
      <c r="D625" s="2"/>
      <c r="E625" s="2"/>
      <c r="F625" s="2"/>
      <c r="G625" s="2"/>
    </row>
    <row r="626" ht="15.75" customHeight="1">
      <c r="A626" s="2"/>
      <c r="B626" s="2"/>
      <c r="C626" s="2"/>
      <c r="D626" s="2"/>
      <c r="E626" s="2"/>
      <c r="F626" s="2"/>
      <c r="G626" s="2"/>
    </row>
    <row r="627" ht="15.75" customHeight="1">
      <c r="A627" s="2"/>
      <c r="B627" s="2"/>
      <c r="C627" s="2"/>
      <c r="D627" s="2"/>
      <c r="E627" s="2"/>
      <c r="F627" s="2"/>
      <c r="G627" s="2"/>
    </row>
    <row r="628" ht="15.75" customHeight="1">
      <c r="A628" s="2"/>
      <c r="B628" s="2"/>
      <c r="C628" s="2"/>
      <c r="D628" s="2"/>
      <c r="E628" s="2"/>
      <c r="F628" s="2"/>
      <c r="G628" s="2"/>
    </row>
    <row r="629" ht="15.75" customHeight="1">
      <c r="A629" s="2"/>
      <c r="B629" s="2"/>
      <c r="C629" s="2"/>
      <c r="D629" s="2"/>
      <c r="E629" s="2"/>
      <c r="F629" s="2"/>
      <c r="G629" s="2"/>
    </row>
    <row r="630" ht="15.75" customHeight="1">
      <c r="A630" s="2"/>
      <c r="B630" s="2"/>
      <c r="C630" s="2"/>
      <c r="D630" s="2"/>
      <c r="E630" s="2"/>
      <c r="F630" s="2"/>
      <c r="G630" s="2"/>
    </row>
    <row r="631" ht="15.75" customHeight="1">
      <c r="A631" s="2"/>
      <c r="B631" s="2"/>
      <c r="C631" s="2"/>
      <c r="D631" s="2"/>
      <c r="E631" s="2"/>
      <c r="F631" s="2"/>
      <c r="G631" s="2"/>
    </row>
    <row r="632" ht="15.75" customHeight="1">
      <c r="A632" s="2"/>
      <c r="B632" s="2"/>
      <c r="C632" s="2"/>
      <c r="D632" s="2"/>
      <c r="E632" s="2"/>
      <c r="F632" s="2"/>
      <c r="G632" s="2"/>
    </row>
    <row r="633" ht="15.75" customHeight="1">
      <c r="A633" s="2"/>
      <c r="B633" s="2"/>
      <c r="C633" s="2"/>
      <c r="D633" s="2"/>
      <c r="E633" s="2"/>
      <c r="F633" s="2"/>
      <c r="G633" s="2"/>
    </row>
    <row r="634" ht="15.75" customHeight="1">
      <c r="A634" s="2"/>
      <c r="B634" s="2"/>
      <c r="C634" s="2"/>
      <c r="D634" s="2"/>
      <c r="E634" s="2"/>
      <c r="F634" s="2"/>
      <c r="G634" s="2"/>
    </row>
    <row r="635" ht="15.75" customHeight="1">
      <c r="A635" s="2"/>
      <c r="B635" s="2"/>
      <c r="C635" s="2"/>
      <c r="D635" s="2"/>
      <c r="E635" s="2"/>
      <c r="F635" s="2"/>
      <c r="G635" s="2"/>
    </row>
    <row r="636" ht="15.75" customHeight="1">
      <c r="A636" s="2"/>
      <c r="B636" s="2"/>
      <c r="C636" s="2"/>
      <c r="D636" s="2"/>
      <c r="E636" s="2"/>
      <c r="F636" s="2"/>
      <c r="G636" s="2"/>
    </row>
    <row r="637" ht="15.75" customHeight="1">
      <c r="A637" s="2"/>
      <c r="B637" s="2"/>
      <c r="C637" s="2"/>
      <c r="D637" s="2"/>
      <c r="E637" s="2"/>
      <c r="F637" s="2"/>
      <c r="G637" s="2"/>
    </row>
    <row r="638" ht="15.75" customHeight="1">
      <c r="A638" s="2"/>
      <c r="B638" s="2"/>
      <c r="C638" s="2"/>
      <c r="D638" s="2"/>
      <c r="E638" s="2"/>
      <c r="F638" s="2"/>
      <c r="G638" s="2"/>
    </row>
    <row r="639" ht="15.75" customHeight="1">
      <c r="A639" s="2"/>
      <c r="B639" s="2"/>
      <c r="C639" s="2"/>
      <c r="D639" s="2"/>
      <c r="E639" s="2"/>
      <c r="F639" s="2"/>
      <c r="G639" s="2"/>
    </row>
    <row r="640" ht="15.75" customHeight="1">
      <c r="A640" s="2"/>
      <c r="B640" s="2"/>
      <c r="C640" s="2"/>
      <c r="D640" s="2"/>
      <c r="E640" s="2"/>
      <c r="F640" s="2"/>
      <c r="G640" s="2"/>
    </row>
    <row r="641" ht="15.75" customHeight="1">
      <c r="A641" s="2"/>
      <c r="B641" s="2"/>
      <c r="C641" s="2"/>
      <c r="D641" s="2"/>
      <c r="E641" s="2"/>
      <c r="F641" s="2"/>
      <c r="G641" s="2"/>
    </row>
    <row r="642" ht="15.75" customHeight="1">
      <c r="A642" s="2"/>
      <c r="B642" s="2"/>
      <c r="C642" s="2"/>
      <c r="D642" s="2"/>
      <c r="E642" s="2"/>
      <c r="F642" s="2"/>
      <c r="G642" s="2"/>
    </row>
    <row r="643" ht="15.75" customHeight="1">
      <c r="A643" s="2"/>
      <c r="B643" s="2"/>
      <c r="C643" s="2"/>
      <c r="D643" s="2"/>
      <c r="E643" s="2"/>
      <c r="F643" s="2"/>
      <c r="G643" s="2"/>
    </row>
    <row r="644" ht="15.75" customHeight="1">
      <c r="A644" s="2"/>
      <c r="B644" s="2"/>
      <c r="C644" s="2"/>
      <c r="D644" s="2"/>
      <c r="E644" s="2"/>
      <c r="F644" s="2"/>
      <c r="G644" s="2"/>
    </row>
    <row r="645" ht="15.75" customHeight="1">
      <c r="A645" s="2"/>
      <c r="B645" s="2"/>
      <c r="C645" s="2"/>
      <c r="D645" s="2"/>
      <c r="E645" s="2"/>
      <c r="F645" s="2"/>
      <c r="G645" s="2"/>
    </row>
    <row r="646" ht="15.75" customHeight="1">
      <c r="A646" s="2"/>
      <c r="B646" s="2"/>
      <c r="C646" s="2"/>
      <c r="D646" s="2"/>
      <c r="E646" s="2"/>
      <c r="F646" s="2"/>
      <c r="G646" s="2"/>
    </row>
    <row r="647" ht="15.75" customHeight="1">
      <c r="A647" s="2"/>
      <c r="B647" s="2"/>
      <c r="C647" s="2"/>
      <c r="D647" s="2"/>
      <c r="E647" s="2"/>
      <c r="F647" s="2"/>
      <c r="G647" s="2"/>
    </row>
    <row r="648" ht="15.75" customHeight="1">
      <c r="A648" s="2"/>
      <c r="B648" s="2"/>
      <c r="C648" s="2"/>
      <c r="D648" s="2"/>
      <c r="E648" s="2"/>
      <c r="F648" s="2"/>
      <c r="G648" s="2"/>
    </row>
    <row r="649" ht="15.75" customHeight="1">
      <c r="A649" s="2"/>
      <c r="B649" s="2"/>
      <c r="C649" s="2"/>
      <c r="D649" s="2"/>
      <c r="E649" s="2"/>
      <c r="F649" s="2"/>
      <c r="G649" s="2"/>
    </row>
    <row r="650" ht="15.75" customHeight="1">
      <c r="A650" s="2"/>
      <c r="B650" s="2"/>
      <c r="C650" s="2"/>
      <c r="D650" s="2"/>
      <c r="E650" s="2"/>
      <c r="F650" s="2"/>
      <c r="G650" s="2"/>
    </row>
    <row r="651" ht="15.75" customHeight="1">
      <c r="A651" s="2"/>
      <c r="B651" s="2"/>
      <c r="C651" s="2"/>
      <c r="D651" s="2"/>
      <c r="E651" s="2"/>
      <c r="F651" s="2"/>
      <c r="G651" s="2"/>
    </row>
    <row r="652" ht="15.75" customHeight="1">
      <c r="A652" s="2"/>
      <c r="B652" s="2"/>
      <c r="C652" s="2"/>
      <c r="D652" s="2"/>
      <c r="E652" s="2"/>
      <c r="F652" s="2"/>
      <c r="G652" s="2"/>
    </row>
    <row r="653" ht="15.75" customHeight="1">
      <c r="A653" s="2"/>
      <c r="B653" s="2"/>
      <c r="C653" s="2"/>
      <c r="D653" s="2"/>
      <c r="E653" s="2"/>
      <c r="F653" s="2"/>
      <c r="G653" s="2"/>
    </row>
    <row r="654" ht="15.75" customHeight="1">
      <c r="A654" s="2"/>
      <c r="B654" s="2"/>
      <c r="C654" s="2"/>
      <c r="D654" s="2"/>
      <c r="E654" s="2"/>
      <c r="F654" s="2"/>
      <c r="G654" s="2"/>
    </row>
    <row r="655" ht="15.75" customHeight="1">
      <c r="A655" s="2"/>
      <c r="B655" s="2"/>
      <c r="C655" s="2"/>
      <c r="D655" s="2"/>
      <c r="E655" s="2"/>
      <c r="F655" s="2"/>
      <c r="G655" s="2"/>
    </row>
    <row r="656" ht="15.75" customHeight="1">
      <c r="A656" s="2"/>
      <c r="B656" s="2"/>
      <c r="C656" s="2"/>
      <c r="D656" s="2"/>
      <c r="E656" s="2"/>
      <c r="F656" s="2"/>
      <c r="G656" s="2"/>
    </row>
    <row r="657" ht="15.75" customHeight="1">
      <c r="A657" s="2"/>
      <c r="B657" s="2"/>
      <c r="C657" s="2"/>
      <c r="D657" s="2"/>
      <c r="E657" s="2"/>
      <c r="F657" s="2"/>
      <c r="G657" s="2"/>
    </row>
    <row r="658" ht="15.75" customHeight="1">
      <c r="A658" s="2"/>
      <c r="B658" s="2"/>
      <c r="C658" s="2"/>
      <c r="D658" s="2"/>
      <c r="E658" s="2"/>
      <c r="F658" s="2"/>
      <c r="G658" s="2"/>
    </row>
    <row r="659" ht="15.75" customHeight="1">
      <c r="A659" s="2"/>
      <c r="B659" s="2"/>
      <c r="C659" s="2"/>
      <c r="D659" s="2"/>
      <c r="E659" s="2"/>
      <c r="F659" s="2"/>
      <c r="G659" s="2"/>
    </row>
    <row r="660" ht="15.75" customHeight="1">
      <c r="A660" s="2"/>
      <c r="B660" s="2"/>
      <c r="C660" s="2"/>
      <c r="D660" s="2"/>
      <c r="E660" s="2"/>
      <c r="F660" s="2"/>
      <c r="G660" s="2"/>
    </row>
    <row r="661" ht="15.75" customHeight="1">
      <c r="A661" s="2"/>
      <c r="B661" s="2"/>
      <c r="C661" s="2"/>
      <c r="D661" s="2"/>
      <c r="E661" s="2"/>
      <c r="F661" s="2"/>
      <c r="G661" s="2"/>
    </row>
    <row r="662" ht="15.75" customHeight="1">
      <c r="A662" s="2"/>
      <c r="B662" s="2"/>
      <c r="C662" s="2"/>
      <c r="D662" s="2"/>
      <c r="E662" s="2"/>
      <c r="F662" s="2"/>
      <c r="G662" s="2"/>
    </row>
    <row r="663" ht="15.75" customHeight="1">
      <c r="A663" s="2"/>
      <c r="B663" s="2"/>
      <c r="C663" s="2"/>
      <c r="D663" s="2"/>
      <c r="E663" s="2"/>
      <c r="F663" s="2"/>
      <c r="G663" s="2"/>
    </row>
    <row r="664" ht="15.75" customHeight="1">
      <c r="A664" s="2"/>
      <c r="B664" s="2"/>
      <c r="C664" s="2"/>
      <c r="D664" s="2"/>
      <c r="E664" s="2"/>
      <c r="F664" s="2"/>
      <c r="G664" s="2"/>
    </row>
    <row r="665" ht="15.75" customHeight="1">
      <c r="A665" s="2"/>
      <c r="B665" s="2"/>
      <c r="C665" s="2"/>
      <c r="D665" s="2"/>
      <c r="E665" s="2"/>
      <c r="F665" s="2"/>
      <c r="G665" s="2"/>
    </row>
    <row r="666" ht="15.75" customHeight="1">
      <c r="A666" s="2"/>
      <c r="B666" s="2"/>
      <c r="C666" s="2"/>
      <c r="D666" s="2"/>
      <c r="E666" s="2"/>
      <c r="F666" s="2"/>
      <c r="G666" s="2"/>
    </row>
    <row r="667" ht="15.75" customHeight="1">
      <c r="A667" s="2"/>
      <c r="B667" s="2"/>
      <c r="C667" s="2"/>
      <c r="D667" s="2"/>
      <c r="E667" s="2"/>
      <c r="F667" s="2"/>
      <c r="G667" s="2"/>
    </row>
    <row r="668" ht="15.75" customHeight="1">
      <c r="A668" s="2"/>
      <c r="B668" s="2"/>
      <c r="C668" s="2"/>
      <c r="D668" s="2"/>
      <c r="E668" s="2"/>
      <c r="F668" s="2"/>
      <c r="G668" s="2"/>
    </row>
    <row r="669" ht="15.75" customHeight="1">
      <c r="A669" s="2"/>
      <c r="B669" s="2"/>
      <c r="C669" s="2"/>
      <c r="D669" s="2"/>
      <c r="E669" s="2"/>
      <c r="F669" s="2"/>
      <c r="G669" s="2"/>
    </row>
    <row r="670" ht="15.75" customHeight="1">
      <c r="A670" s="2"/>
      <c r="B670" s="2"/>
      <c r="C670" s="2"/>
      <c r="D670" s="2"/>
      <c r="E670" s="2"/>
      <c r="F670" s="2"/>
      <c r="G670" s="2"/>
    </row>
    <row r="671" ht="15.75" customHeight="1">
      <c r="A671" s="2"/>
      <c r="B671" s="2"/>
      <c r="C671" s="2"/>
      <c r="D671" s="2"/>
      <c r="E671" s="2"/>
      <c r="F671" s="2"/>
      <c r="G671" s="2"/>
    </row>
    <row r="672" ht="15.75" customHeight="1">
      <c r="A672" s="2"/>
      <c r="B672" s="2"/>
      <c r="C672" s="2"/>
      <c r="D672" s="2"/>
      <c r="E672" s="2"/>
      <c r="F672" s="2"/>
      <c r="G672" s="2"/>
    </row>
    <row r="673" ht="15.75" customHeight="1">
      <c r="A673" s="2"/>
      <c r="B673" s="2"/>
      <c r="C673" s="2"/>
      <c r="D673" s="2"/>
      <c r="E673" s="2"/>
      <c r="F673" s="2"/>
      <c r="G673" s="2"/>
    </row>
    <row r="674" ht="15.75" customHeight="1">
      <c r="A674" s="2"/>
      <c r="B674" s="2"/>
      <c r="C674" s="2"/>
      <c r="D674" s="2"/>
      <c r="E674" s="2"/>
      <c r="F674" s="2"/>
      <c r="G674" s="2"/>
    </row>
    <row r="675" ht="15.75" customHeight="1">
      <c r="A675" s="2"/>
      <c r="B675" s="2"/>
      <c r="C675" s="2"/>
      <c r="D675" s="2"/>
      <c r="E675" s="2"/>
      <c r="F675" s="2"/>
      <c r="G675" s="2"/>
    </row>
    <row r="676" ht="15.75" customHeight="1">
      <c r="A676" s="2"/>
      <c r="B676" s="2"/>
      <c r="C676" s="2"/>
      <c r="D676" s="2"/>
      <c r="E676" s="2"/>
      <c r="F676" s="2"/>
      <c r="G676" s="2"/>
    </row>
    <row r="677" ht="15.75" customHeight="1">
      <c r="A677" s="2"/>
      <c r="B677" s="2"/>
      <c r="C677" s="2"/>
      <c r="D677" s="2"/>
      <c r="E677" s="2"/>
      <c r="F677" s="2"/>
      <c r="G677" s="2"/>
    </row>
    <row r="678" ht="15.75" customHeight="1">
      <c r="A678" s="2"/>
      <c r="B678" s="2"/>
      <c r="C678" s="2"/>
      <c r="D678" s="2"/>
      <c r="E678" s="2"/>
      <c r="F678" s="2"/>
      <c r="G678" s="2"/>
    </row>
    <row r="679" ht="15.75" customHeight="1">
      <c r="A679" s="2"/>
      <c r="B679" s="2"/>
      <c r="C679" s="2"/>
      <c r="D679" s="2"/>
      <c r="E679" s="2"/>
      <c r="F679" s="2"/>
      <c r="G679" s="2"/>
    </row>
    <row r="680" ht="15.75" customHeight="1">
      <c r="A680" s="2"/>
      <c r="B680" s="2"/>
      <c r="C680" s="2"/>
      <c r="D680" s="2"/>
      <c r="E680" s="2"/>
      <c r="F680" s="2"/>
      <c r="G680" s="2"/>
    </row>
    <row r="681" ht="15.75" customHeight="1">
      <c r="A681" s="2"/>
      <c r="B681" s="2"/>
      <c r="C681" s="2"/>
      <c r="D681" s="2"/>
      <c r="E681" s="2"/>
      <c r="F681" s="2"/>
      <c r="G681" s="2"/>
    </row>
    <row r="682" ht="15.75" customHeight="1">
      <c r="A682" s="2"/>
      <c r="B682" s="2"/>
      <c r="C682" s="2"/>
      <c r="D682" s="2"/>
      <c r="E682" s="2"/>
      <c r="F682" s="2"/>
      <c r="G682" s="2"/>
    </row>
    <row r="683" ht="15.75" customHeight="1">
      <c r="A683" s="2"/>
      <c r="B683" s="2"/>
      <c r="C683" s="2"/>
      <c r="D683" s="2"/>
      <c r="E683" s="2"/>
      <c r="F683" s="2"/>
      <c r="G683" s="2"/>
    </row>
    <row r="684" ht="15.75" customHeight="1">
      <c r="A684" s="2"/>
      <c r="B684" s="2"/>
      <c r="C684" s="2"/>
      <c r="D684" s="2"/>
      <c r="E684" s="2"/>
      <c r="F684" s="2"/>
      <c r="G684" s="2"/>
    </row>
    <row r="685" ht="15.75" customHeight="1">
      <c r="A685" s="2"/>
      <c r="B685" s="2"/>
      <c r="C685" s="2"/>
      <c r="D685" s="2"/>
      <c r="E685" s="2"/>
      <c r="F685" s="2"/>
      <c r="G685" s="2"/>
    </row>
    <row r="686" ht="15.75" customHeight="1">
      <c r="A686" s="2"/>
      <c r="B686" s="2"/>
      <c r="C686" s="2"/>
      <c r="D686" s="2"/>
      <c r="E686" s="2"/>
      <c r="F686" s="2"/>
      <c r="G686" s="2"/>
    </row>
    <row r="687" ht="15.75" customHeight="1">
      <c r="A687" s="2"/>
      <c r="B687" s="2"/>
      <c r="C687" s="2"/>
      <c r="D687" s="2"/>
      <c r="E687" s="2"/>
      <c r="F687" s="2"/>
      <c r="G687" s="2"/>
    </row>
    <row r="688" ht="15.75" customHeight="1">
      <c r="A688" s="2"/>
      <c r="B688" s="2"/>
      <c r="C688" s="2"/>
      <c r="D688" s="2"/>
      <c r="E688" s="2"/>
      <c r="F688" s="2"/>
      <c r="G688" s="2"/>
    </row>
    <row r="689" ht="15.75" customHeight="1">
      <c r="A689" s="2"/>
      <c r="B689" s="2"/>
      <c r="C689" s="2"/>
      <c r="D689" s="2"/>
      <c r="E689" s="2"/>
      <c r="F689" s="2"/>
      <c r="G689" s="2"/>
    </row>
    <row r="690" ht="15.75" customHeight="1">
      <c r="A690" s="2"/>
      <c r="B690" s="2"/>
      <c r="C690" s="2"/>
      <c r="D690" s="2"/>
      <c r="E690" s="2"/>
      <c r="F690" s="2"/>
      <c r="G690" s="2"/>
    </row>
    <row r="691" ht="15.75" customHeight="1">
      <c r="A691" s="2"/>
      <c r="B691" s="2"/>
      <c r="C691" s="2"/>
      <c r="D691" s="2"/>
      <c r="E691" s="2"/>
      <c r="F691" s="2"/>
      <c r="G691" s="2"/>
    </row>
    <row r="692" ht="15.75" customHeight="1">
      <c r="A692" s="2"/>
      <c r="B692" s="2"/>
      <c r="C692" s="2"/>
      <c r="D692" s="2"/>
      <c r="E692" s="2"/>
      <c r="F692" s="2"/>
      <c r="G692" s="2"/>
    </row>
    <row r="693" ht="15.75" customHeight="1">
      <c r="A693" s="2"/>
      <c r="B693" s="2"/>
      <c r="C693" s="2"/>
      <c r="D693" s="2"/>
      <c r="E693" s="2"/>
      <c r="F693" s="2"/>
      <c r="G693" s="2"/>
    </row>
    <row r="694" ht="15.75" customHeight="1">
      <c r="A694" s="2"/>
      <c r="B694" s="2"/>
      <c r="C694" s="2"/>
      <c r="D694" s="2"/>
      <c r="E694" s="2"/>
      <c r="F694" s="2"/>
      <c r="G694" s="2"/>
    </row>
    <row r="695" ht="15.75" customHeight="1">
      <c r="A695" s="2"/>
      <c r="B695" s="2"/>
      <c r="C695" s="2"/>
      <c r="D695" s="2"/>
      <c r="E695" s="2"/>
      <c r="F695" s="2"/>
      <c r="G695" s="2"/>
    </row>
    <row r="696" ht="15.75" customHeight="1">
      <c r="A696" s="2"/>
      <c r="B696" s="2"/>
      <c r="C696" s="2"/>
      <c r="D696" s="2"/>
      <c r="E696" s="2"/>
      <c r="F696" s="2"/>
      <c r="G696" s="2"/>
    </row>
    <row r="697" ht="15.75" customHeight="1">
      <c r="A697" s="2"/>
      <c r="B697" s="2"/>
      <c r="C697" s="2"/>
      <c r="D697" s="2"/>
      <c r="E697" s="2"/>
      <c r="F697" s="2"/>
      <c r="G697" s="2"/>
    </row>
    <row r="698" ht="15.75" customHeight="1">
      <c r="A698" s="2"/>
      <c r="B698" s="2"/>
      <c r="C698" s="2"/>
      <c r="D698" s="2"/>
      <c r="E698" s="2"/>
      <c r="F698" s="2"/>
      <c r="G698" s="2"/>
    </row>
    <row r="699" ht="15.75" customHeight="1">
      <c r="A699" s="2"/>
      <c r="B699" s="2"/>
      <c r="C699" s="2"/>
      <c r="D699" s="2"/>
      <c r="E699" s="2"/>
      <c r="F699" s="2"/>
      <c r="G699" s="2"/>
    </row>
    <row r="700" ht="15.75" customHeight="1">
      <c r="A700" s="2"/>
      <c r="B700" s="2"/>
      <c r="C700" s="2"/>
      <c r="D700" s="2"/>
      <c r="E700" s="2"/>
      <c r="F700" s="2"/>
      <c r="G700" s="2"/>
    </row>
    <row r="701" ht="15.75" customHeight="1">
      <c r="A701" s="2"/>
      <c r="B701" s="2"/>
      <c r="C701" s="2"/>
      <c r="D701" s="2"/>
      <c r="E701" s="2"/>
      <c r="F701" s="2"/>
      <c r="G701" s="2"/>
    </row>
    <row r="702" ht="15.75" customHeight="1">
      <c r="A702" s="2"/>
      <c r="B702" s="2"/>
      <c r="C702" s="2"/>
      <c r="D702" s="2"/>
      <c r="E702" s="2"/>
      <c r="F702" s="2"/>
      <c r="G702" s="2"/>
    </row>
    <row r="703" ht="15.75" customHeight="1">
      <c r="A703" s="2"/>
      <c r="B703" s="2"/>
      <c r="C703" s="2"/>
      <c r="D703" s="2"/>
      <c r="E703" s="2"/>
      <c r="F703" s="2"/>
      <c r="G703" s="2"/>
    </row>
    <row r="704" ht="15.75" customHeight="1">
      <c r="A704" s="2"/>
      <c r="B704" s="2"/>
      <c r="C704" s="2"/>
      <c r="D704" s="2"/>
      <c r="E704" s="2"/>
      <c r="F704" s="2"/>
      <c r="G704" s="2"/>
    </row>
    <row r="705" ht="15.75" customHeight="1">
      <c r="A705" s="2"/>
      <c r="B705" s="2"/>
      <c r="C705" s="2"/>
      <c r="D705" s="2"/>
      <c r="E705" s="2"/>
      <c r="F705" s="2"/>
      <c r="G705" s="2"/>
    </row>
    <row r="706" ht="15.75" customHeight="1">
      <c r="A706" s="2"/>
      <c r="B706" s="2"/>
      <c r="C706" s="2"/>
      <c r="D706" s="2"/>
      <c r="E706" s="2"/>
      <c r="F706" s="2"/>
      <c r="G706" s="2"/>
    </row>
    <row r="707" ht="15.75" customHeight="1">
      <c r="A707" s="2"/>
      <c r="B707" s="2"/>
      <c r="C707" s="2"/>
      <c r="D707" s="2"/>
      <c r="E707" s="2"/>
      <c r="F707" s="2"/>
      <c r="G707" s="2"/>
    </row>
    <row r="708" ht="15.75" customHeight="1">
      <c r="A708" s="2"/>
      <c r="B708" s="2"/>
      <c r="C708" s="2"/>
      <c r="D708" s="2"/>
      <c r="E708" s="2"/>
      <c r="F708" s="2"/>
      <c r="G708" s="2"/>
    </row>
    <row r="709" ht="15.75" customHeight="1">
      <c r="A709" s="2"/>
      <c r="B709" s="2"/>
      <c r="C709" s="2"/>
      <c r="D709" s="2"/>
      <c r="E709" s="2"/>
      <c r="F709" s="2"/>
      <c r="G709" s="2"/>
    </row>
    <row r="710" ht="15.75" customHeight="1">
      <c r="A710" s="2"/>
      <c r="B710" s="2"/>
      <c r="C710" s="2"/>
      <c r="D710" s="2"/>
      <c r="E710" s="2"/>
      <c r="F710" s="2"/>
      <c r="G710" s="2"/>
    </row>
    <row r="711" ht="15.75" customHeight="1">
      <c r="A711" s="2"/>
      <c r="B711" s="2"/>
      <c r="C711" s="2"/>
      <c r="D711" s="2"/>
      <c r="E711" s="2"/>
      <c r="F711" s="2"/>
      <c r="G711" s="2"/>
    </row>
    <row r="712" ht="15.75" customHeight="1">
      <c r="A712" s="2"/>
      <c r="B712" s="2"/>
      <c r="C712" s="2"/>
      <c r="D712" s="2"/>
      <c r="E712" s="2"/>
      <c r="F712" s="2"/>
      <c r="G712" s="2"/>
    </row>
    <row r="713" ht="15.75" customHeight="1">
      <c r="A713" s="2"/>
      <c r="B713" s="2"/>
      <c r="C713" s="2"/>
      <c r="D713" s="2"/>
      <c r="E713" s="2"/>
      <c r="F713" s="2"/>
      <c r="G713" s="2"/>
    </row>
    <row r="714" ht="15.75" customHeight="1">
      <c r="A714" s="2"/>
      <c r="B714" s="2"/>
      <c r="C714" s="2"/>
      <c r="D714" s="2"/>
      <c r="E714" s="2"/>
      <c r="F714" s="2"/>
      <c r="G714" s="2"/>
    </row>
    <row r="715" ht="15.75" customHeight="1">
      <c r="A715" s="2"/>
      <c r="B715" s="2"/>
      <c r="C715" s="2"/>
      <c r="D715" s="2"/>
      <c r="E715" s="2"/>
      <c r="F715" s="2"/>
      <c r="G715" s="2"/>
    </row>
    <row r="716" ht="15.75" customHeight="1">
      <c r="A716" s="2"/>
      <c r="B716" s="2"/>
      <c r="C716" s="2"/>
      <c r="D716" s="2"/>
      <c r="E716" s="2"/>
      <c r="F716" s="2"/>
      <c r="G716" s="2"/>
    </row>
    <row r="717" ht="15.75" customHeight="1">
      <c r="A717" s="2"/>
      <c r="B717" s="2"/>
      <c r="C717" s="2"/>
      <c r="D717" s="2"/>
      <c r="E717" s="2"/>
      <c r="F717" s="2"/>
      <c r="G717" s="2"/>
    </row>
    <row r="718" ht="15.75" customHeight="1">
      <c r="A718" s="2"/>
      <c r="B718" s="2"/>
      <c r="C718" s="2"/>
      <c r="D718" s="2"/>
      <c r="E718" s="2"/>
      <c r="F718" s="2"/>
      <c r="G718" s="2"/>
    </row>
    <row r="719" ht="15.75" customHeight="1">
      <c r="A719" s="2"/>
      <c r="B719" s="2"/>
      <c r="C719" s="2"/>
      <c r="D719" s="2"/>
      <c r="E719" s="2"/>
      <c r="F719" s="2"/>
      <c r="G719" s="2"/>
    </row>
    <row r="720" ht="15.75" customHeight="1">
      <c r="A720" s="2"/>
      <c r="B720" s="2"/>
      <c r="C720" s="2"/>
      <c r="D720" s="2"/>
      <c r="E720" s="2"/>
      <c r="F720" s="2"/>
      <c r="G720" s="2"/>
    </row>
    <row r="721" ht="15.75" customHeight="1">
      <c r="A721" s="2"/>
      <c r="B721" s="2"/>
      <c r="C721" s="2"/>
      <c r="D721" s="2"/>
      <c r="E721" s="2"/>
      <c r="F721" s="2"/>
      <c r="G721" s="2"/>
    </row>
    <row r="722" ht="15.75" customHeight="1">
      <c r="A722" s="2"/>
      <c r="B722" s="2"/>
      <c r="C722" s="2"/>
      <c r="D722" s="2"/>
      <c r="E722" s="2"/>
      <c r="F722" s="2"/>
      <c r="G722" s="2"/>
    </row>
    <row r="723" ht="15.75" customHeight="1">
      <c r="A723" s="2"/>
      <c r="B723" s="2"/>
      <c r="C723" s="2"/>
      <c r="D723" s="2"/>
      <c r="E723" s="2"/>
      <c r="F723" s="2"/>
      <c r="G723" s="2"/>
    </row>
    <row r="724" ht="15.75" customHeight="1">
      <c r="A724" s="2"/>
      <c r="B724" s="2"/>
      <c r="C724" s="2"/>
      <c r="D724" s="2"/>
      <c r="E724" s="2"/>
      <c r="F724" s="2"/>
      <c r="G724" s="2"/>
    </row>
    <row r="725" ht="15.75" customHeight="1">
      <c r="A725" s="2"/>
      <c r="B725" s="2"/>
      <c r="C725" s="2"/>
      <c r="D725" s="2"/>
      <c r="E725" s="2"/>
      <c r="F725" s="2"/>
      <c r="G725" s="2"/>
    </row>
    <row r="726" ht="15.75" customHeight="1">
      <c r="A726" s="2"/>
      <c r="B726" s="2"/>
      <c r="C726" s="2"/>
      <c r="D726" s="2"/>
      <c r="E726" s="2"/>
      <c r="F726" s="2"/>
      <c r="G726" s="2"/>
    </row>
    <row r="727" ht="15.75" customHeight="1">
      <c r="A727" s="2"/>
      <c r="B727" s="2"/>
      <c r="C727" s="2"/>
      <c r="D727" s="2"/>
      <c r="E727" s="2"/>
      <c r="F727" s="2"/>
      <c r="G727" s="2"/>
    </row>
    <row r="728" ht="15.75" customHeight="1">
      <c r="A728" s="2"/>
      <c r="B728" s="2"/>
      <c r="C728" s="2"/>
      <c r="D728" s="2"/>
      <c r="E728" s="2"/>
      <c r="F728" s="2"/>
      <c r="G728" s="2"/>
    </row>
    <row r="729" ht="15.75" customHeight="1">
      <c r="A729" s="2"/>
      <c r="B729" s="2"/>
      <c r="C729" s="2"/>
      <c r="D729" s="2"/>
      <c r="E729" s="2"/>
      <c r="F729" s="2"/>
      <c r="G729" s="2"/>
    </row>
    <row r="730" ht="15.75" customHeight="1">
      <c r="A730" s="2"/>
      <c r="B730" s="2"/>
      <c r="C730" s="2"/>
      <c r="D730" s="2"/>
      <c r="E730" s="2"/>
      <c r="F730" s="2"/>
      <c r="G730" s="2"/>
    </row>
    <row r="731" ht="15.75" customHeight="1">
      <c r="A731" s="2"/>
      <c r="B731" s="2"/>
      <c r="C731" s="2"/>
      <c r="D731" s="2"/>
      <c r="E731" s="2"/>
      <c r="F731" s="2"/>
      <c r="G731" s="2"/>
    </row>
    <row r="732" ht="15.75" customHeight="1">
      <c r="A732" s="2"/>
      <c r="B732" s="2"/>
      <c r="C732" s="2"/>
      <c r="D732" s="2"/>
      <c r="E732" s="2"/>
      <c r="F732" s="2"/>
      <c r="G732" s="2"/>
    </row>
    <row r="733" ht="15.75" customHeight="1">
      <c r="A733" s="2"/>
      <c r="B733" s="2"/>
      <c r="C733" s="2"/>
      <c r="D733" s="2"/>
      <c r="E733" s="2"/>
      <c r="F733" s="2"/>
      <c r="G733" s="2"/>
    </row>
    <row r="734" ht="15.75" customHeight="1">
      <c r="A734" s="2"/>
      <c r="B734" s="2"/>
      <c r="C734" s="2"/>
      <c r="D734" s="2"/>
      <c r="E734" s="2"/>
      <c r="F734" s="2"/>
      <c r="G734" s="2"/>
    </row>
    <row r="735" ht="15.75" customHeight="1">
      <c r="A735" s="2"/>
      <c r="B735" s="2"/>
      <c r="C735" s="2"/>
      <c r="D735" s="2"/>
      <c r="E735" s="2"/>
      <c r="F735" s="2"/>
      <c r="G735" s="2"/>
    </row>
    <row r="736" ht="15.75" customHeight="1">
      <c r="A736" s="2"/>
      <c r="B736" s="2"/>
      <c r="C736" s="2"/>
      <c r="D736" s="2"/>
      <c r="E736" s="2"/>
      <c r="F736" s="2"/>
      <c r="G736" s="2"/>
    </row>
    <row r="737" ht="15.75" customHeight="1">
      <c r="A737" s="2"/>
      <c r="B737" s="2"/>
      <c r="C737" s="2"/>
      <c r="D737" s="2"/>
      <c r="E737" s="2"/>
      <c r="F737" s="2"/>
      <c r="G737" s="2"/>
    </row>
    <row r="738" ht="15.75" customHeight="1">
      <c r="A738" s="2"/>
      <c r="B738" s="2"/>
      <c r="C738" s="2"/>
      <c r="D738" s="2"/>
      <c r="E738" s="2"/>
      <c r="F738" s="2"/>
      <c r="G738" s="2"/>
    </row>
    <row r="739" ht="15.75" customHeight="1">
      <c r="A739" s="2"/>
      <c r="B739" s="2"/>
      <c r="C739" s="2"/>
      <c r="D739" s="2"/>
      <c r="E739" s="2"/>
      <c r="F739" s="2"/>
      <c r="G739" s="2"/>
    </row>
    <row r="740" ht="15.75" customHeight="1">
      <c r="A740" s="2"/>
      <c r="B740" s="2"/>
      <c r="C740" s="2"/>
      <c r="D740" s="2"/>
      <c r="E740" s="2"/>
      <c r="F740" s="2"/>
      <c r="G740" s="2"/>
    </row>
    <row r="741" ht="15.75" customHeight="1">
      <c r="A741" s="2"/>
      <c r="B741" s="2"/>
      <c r="C741" s="2"/>
      <c r="D741" s="2"/>
      <c r="E741" s="2"/>
      <c r="F741" s="2"/>
      <c r="G741" s="2"/>
    </row>
    <row r="742" ht="15.75" customHeight="1">
      <c r="A742" s="2"/>
      <c r="B742" s="2"/>
      <c r="C742" s="2"/>
      <c r="D742" s="2"/>
      <c r="E742" s="2"/>
      <c r="F742" s="2"/>
      <c r="G742" s="2"/>
    </row>
    <row r="743" ht="15.75" customHeight="1">
      <c r="A743" s="2"/>
      <c r="B743" s="2"/>
      <c r="C743" s="2"/>
      <c r="D743" s="2"/>
      <c r="E743" s="2"/>
      <c r="F743" s="2"/>
      <c r="G743" s="2"/>
    </row>
    <row r="744" ht="15.75" customHeight="1">
      <c r="A744" s="2"/>
      <c r="B744" s="2"/>
      <c r="C744" s="2"/>
      <c r="D744" s="2"/>
      <c r="E744" s="2"/>
      <c r="F744" s="2"/>
      <c r="G744" s="2"/>
    </row>
    <row r="745" ht="15.75" customHeight="1">
      <c r="A745" s="2"/>
      <c r="B745" s="2"/>
      <c r="C745" s="2"/>
      <c r="D745" s="2"/>
      <c r="E745" s="2"/>
      <c r="F745" s="2"/>
      <c r="G745" s="2"/>
    </row>
    <row r="746" ht="15.75" customHeight="1">
      <c r="A746" s="2"/>
      <c r="B746" s="2"/>
      <c r="C746" s="2"/>
      <c r="D746" s="2"/>
      <c r="E746" s="2"/>
      <c r="F746" s="2"/>
      <c r="G746" s="2"/>
    </row>
    <row r="747" ht="15.75" customHeight="1">
      <c r="A747" s="2"/>
      <c r="B747" s="2"/>
      <c r="C747" s="2"/>
      <c r="D747" s="2"/>
      <c r="E747" s="2"/>
      <c r="F747" s="2"/>
      <c r="G747" s="2"/>
    </row>
    <row r="748" ht="15.75" customHeight="1">
      <c r="A748" s="2"/>
      <c r="B748" s="2"/>
      <c r="C748" s="2"/>
      <c r="D748" s="2"/>
      <c r="E748" s="2"/>
      <c r="F748" s="2"/>
      <c r="G748" s="2"/>
    </row>
    <row r="749" ht="15.75" customHeight="1">
      <c r="A749" s="2"/>
      <c r="B749" s="2"/>
      <c r="C749" s="2"/>
      <c r="D749" s="2"/>
      <c r="E749" s="2"/>
      <c r="F749" s="2"/>
      <c r="G749" s="2"/>
    </row>
    <row r="750" ht="15.75" customHeight="1">
      <c r="A750" s="2"/>
      <c r="B750" s="2"/>
      <c r="C750" s="2"/>
      <c r="D750" s="2"/>
      <c r="E750" s="2"/>
      <c r="F750" s="2"/>
      <c r="G750" s="2"/>
    </row>
    <row r="751" ht="15.75" customHeight="1">
      <c r="A751" s="2"/>
      <c r="B751" s="2"/>
      <c r="C751" s="2"/>
      <c r="D751" s="2"/>
      <c r="E751" s="2"/>
      <c r="F751" s="2"/>
      <c r="G751" s="2"/>
    </row>
    <row r="752" ht="15.75" customHeight="1">
      <c r="A752" s="2"/>
      <c r="B752" s="2"/>
      <c r="C752" s="2"/>
      <c r="D752" s="2"/>
      <c r="E752" s="2"/>
      <c r="F752" s="2"/>
      <c r="G752" s="2"/>
    </row>
    <row r="753" ht="15.75" customHeight="1">
      <c r="A753" s="2"/>
      <c r="B753" s="2"/>
      <c r="C753" s="2"/>
      <c r="D753" s="2"/>
      <c r="E753" s="2"/>
      <c r="F753" s="2"/>
      <c r="G753" s="2"/>
    </row>
    <row r="754" ht="15.75" customHeight="1">
      <c r="A754" s="2"/>
      <c r="B754" s="2"/>
      <c r="C754" s="2"/>
      <c r="D754" s="2"/>
      <c r="E754" s="2"/>
      <c r="F754" s="2"/>
      <c r="G754" s="2"/>
    </row>
    <row r="755" ht="15.75" customHeight="1">
      <c r="A755" s="2"/>
      <c r="B755" s="2"/>
      <c r="C755" s="2"/>
      <c r="D755" s="2"/>
      <c r="E755" s="2"/>
      <c r="F755" s="2"/>
      <c r="G755" s="2"/>
    </row>
    <row r="756" ht="15.75" customHeight="1">
      <c r="A756" s="2"/>
      <c r="B756" s="2"/>
      <c r="C756" s="2"/>
      <c r="D756" s="2"/>
      <c r="E756" s="2"/>
      <c r="F756" s="2"/>
      <c r="G756" s="2"/>
    </row>
    <row r="757" ht="15.75" customHeight="1">
      <c r="A757" s="2"/>
      <c r="B757" s="2"/>
      <c r="C757" s="2"/>
      <c r="D757" s="2"/>
      <c r="E757" s="2"/>
      <c r="F757" s="2"/>
      <c r="G757" s="2"/>
    </row>
    <row r="758" ht="15.75" customHeight="1">
      <c r="A758" s="2"/>
      <c r="B758" s="2"/>
      <c r="C758" s="2"/>
      <c r="D758" s="2"/>
      <c r="E758" s="2"/>
      <c r="F758" s="2"/>
      <c r="G758" s="2"/>
    </row>
    <row r="759" ht="15.75" customHeight="1">
      <c r="A759" s="2"/>
      <c r="B759" s="2"/>
      <c r="C759" s="2"/>
      <c r="D759" s="2"/>
      <c r="E759" s="2"/>
      <c r="F759" s="2"/>
      <c r="G759" s="2"/>
    </row>
    <row r="760" ht="15.75" customHeight="1">
      <c r="A760" s="2"/>
      <c r="B760" s="2"/>
      <c r="C760" s="2"/>
      <c r="D760" s="2"/>
      <c r="E760" s="2"/>
      <c r="F760" s="2"/>
      <c r="G760" s="2"/>
    </row>
    <row r="761" ht="15.75" customHeight="1">
      <c r="A761" s="2"/>
      <c r="B761" s="2"/>
      <c r="C761" s="2"/>
      <c r="D761" s="2"/>
      <c r="E761" s="2"/>
      <c r="F761" s="2"/>
      <c r="G761" s="2"/>
    </row>
    <row r="762" ht="15.75" customHeight="1">
      <c r="A762" s="2"/>
      <c r="B762" s="2"/>
      <c r="C762" s="2"/>
      <c r="D762" s="2"/>
      <c r="E762" s="2"/>
      <c r="F762" s="2"/>
      <c r="G762" s="2"/>
    </row>
    <row r="763" ht="15.75" customHeight="1">
      <c r="A763" s="2"/>
      <c r="B763" s="2"/>
      <c r="C763" s="2"/>
      <c r="D763" s="2"/>
      <c r="E763" s="2"/>
      <c r="F763" s="2"/>
      <c r="G763" s="2"/>
    </row>
    <row r="764" ht="15.75" customHeight="1">
      <c r="A764" s="2"/>
      <c r="B764" s="2"/>
      <c r="C764" s="2"/>
      <c r="D764" s="2"/>
      <c r="E764" s="2"/>
      <c r="F764" s="2"/>
      <c r="G764" s="2"/>
    </row>
    <row r="765" ht="15.75" customHeight="1">
      <c r="A765" s="2"/>
      <c r="B765" s="2"/>
      <c r="C765" s="2"/>
      <c r="D765" s="2"/>
      <c r="E765" s="2"/>
      <c r="F765" s="2"/>
      <c r="G765" s="2"/>
    </row>
    <row r="766" ht="15.75" customHeight="1">
      <c r="A766" s="2"/>
      <c r="B766" s="2"/>
      <c r="C766" s="2"/>
      <c r="D766" s="2"/>
      <c r="E766" s="2"/>
      <c r="F766" s="2"/>
      <c r="G766" s="2"/>
    </row>
    <row r="767" ht="15.75" customHeight="1">
      <c r="A767" s="2"/>
      <c r="B767" s="2"/>
      <c r="C767" s="2"/>
      <c r="D767" s="2"/>
      <c r="E767" s="2"/>
      <c r="F767" s="2"/>
      <c r="G767" s="2"/>
    </row>
    <row r="768" ht="15.75" customHeight="1">
      <c r="A768" s="2"/>
      <c r="B768" s="2"/>
      <c r="C768" s="2"/>
      <c r="D768" s="2"/>
      <c r="E768" s="2"/>
      <c r="F768" s="2"/>
      <c r="G768" s="2"/>
    </row>
    <row r="769" ht="15.75" customHeight="1">
      <c r="A769" s="2"/>
      <c r="B769" s="2"/>
      <c r="C769" s="2"/>
      <c r="D769" s="2"/>
      <c r="E769" s="2"/>
      <c r="F769" s="2"/>
      <c r="G769" s="2"/>
    </row>
    <row r="770" ht="15.75" customHeight="1">
      <c r="A770" s="2"/>
      <c r="B770" s="2"/>
      <c r="C770" s="2"/>
      <c r="D770" s="2"/>
      <c r="E770" s="2"/>
      <c r="F770" s="2"/>
      <c r="G770" s="2"/>
    </row>
    <row r="771" ht="15.75" customHeight="1">
      <c r="A771" s="2"/>
      <c r="B771" s="2"/>
      <c r="C771" s="2"/>
      <c r="D771" s="2"/>
      <c r="E771" s="2"/>
      <c r="F771" s="2"/>
      <c r="G771" s="2"/>
    </row>
    <row r="772" ht="15.75" customHeight="1">
      <c r="A772" s="2"/>
      <c r="B772" s="2"/>
      <c r="C772" s="2"/>
      <c r="D772" s="2"/>
      <c r="E772" s="2"/>
      <c r="F772" s="2"/>
      <c r="G772" s="2"/>
    </row>
    <row r="773" ht="15.75" customHeight="1">
      <c r="A773" s="2"/>
      <c r="B773" s="2"/>
      <c r="C773" s="2"/>
      <c r="D773" s="2"/>
      <c r="E773" s="2"/>
      <c r="F773" s="2"/>
      <c r="G773" s="2"/>
    </row>
    <row r="774" ht="15.75" customHeight="1">
      <c r="A774" s="2"/>
      <c r="B774" s="2"/>
      <c r="C774" s="2"/>
      <c r="D774" s="2"/>
      <c r="E774" s="2"/>
      <c r="F774" s="2"/>
      <c r="G774" s="2"/>
    </row>
    <row r="775" ht="15.75" customHeight="1">
      <c r="A775" s="2"/>
      <c r="B775" s="2"/>
      <c r="C775" s="2"/>
      <c r="D775" s="2"/>
      <c r="E775" s="2"/>
      <c r="F775" s="2"/>
      <c r="G775" s="2"/>
    </row>
    <row r="776" ht="15.75" customHeight="1">
      <c r="A776" s="2"/>
      <c r="B776" s="2"/>
      <c r="C776" s="2"/>
      <c r="D776" s="2"/>
      <c r="E776" s="2"/>
      <c r="F776" s="2"/>
      <c r="G776" s="2"/>
    </row>
    <row r="777" ht="15.75" customHeight="1">
      <c r="A777" s="2"/>
      <c r="B777" s="2"/>
      <c r="C777" s="2"/>
      <c r="D777" s="2"/>
      <c r="E777" s="2"/>
      <c r="F777" s="2"/>
      <c r="G777" s="2"/>
    </row>
    <row r="778" ht="15.75" customHeight="1">
      <c r="A778" s="2"/>
      <c r="B778" s="2"/>
      <c r="C778" s="2"/>
      <c r="D778" s="2"/>
      <c r="E778" s="2"/>
      <c r="F778" s="2"/>
      <c r="G778" s="2"/>
    </row>
    <row r="779" ht="15.75" customHeight="1">
      <c r="A779" s="2"/>
      <c r="B779" s="2"/>
      <c r="C779" s="2"/>
      <c r="D779" s="2"/>
      <c r="E779" s="2"/>
      <c r="F779" s="2"/>
      <c r="G779" s="2"/>
    </row>
    <row r="780" ht="15.75" customHeight="1">
      <c r="A780" s="2"/>
      <c r="B780" s="2"/>
      <c r="C780" s="2"/>
      <c r="D780" s="2"/>
      <c r="E780" s="2"/>
      <c r="F780" s="2"/>
      <c r="G780" s="2"/>
    </row>
    <row r="781" ht="15.75" customHeight="1">
      <c r="A781" s="2"/>
      <c r="B781" s="2"/>
      <c r="C781" s="2"/>
      <c r="D781" s="2"/>
      <c r="E781" s="2"/>
      <c r="F781" s="2"/>
      <c r="G781" s="2"/>
    </row>
    <row r="782" ht="15.75" customHeight="1">
      <c r="A782" s="2"/>
      <c r="B782" s="2"/>
      <c r="C782" s="2"/>
      <c r="D782" s="2"/>
      <c r="E782" s="2"/>
      <c r="F782" s="2"/>
      <c r="G782" s="2"/>
    </row>
    <row r="783" ht="15.75" customHeight="1">
      <c r="A783" s="2"/>
      <c r="B783" s="2"/>
      <c r="C783" s="2"/>
      <c r="D783" s="2"/>
      <c r="E783" s="2"/>
      <c r="F783" s="2"/>
      <c r="G783" s="2"/>
    </row>
    <row r="784" ht="15.75" customHeight="1">
      <c r="A784" s="2"/>
      <c r="B784" s="2"/>
      <c r="C784" s="2"/>
      <c r="D784" s="2"/>
      <c r="E784" s="2"/>
      <c r="F784" s="2"/>
      <c r="G784" s="2"/>
    </row>
    <row r="785" ht="15.75" customHeight="1">
      <c r="A785" s="2"/>
      <c r="B785" s="2"/>
      <c r="C785" s="2"/>
      <c r="D785" s="2"/>
      <c r="E785" s="2"/>
      <c r="F785" s="2"/>
      <c r="G785" s="2"/>
    </row>
    <row r="786" ht="15.75" customHeight="1">
      <c r="A786" s="2"/>
      <c r="B786" s="2"/>
      <c r="C786" s="2"/>
      <c r="D786" s="2"/>
      <c r="E786" s="2"/>
      <c r="F786" s="2"/>
      <c r="G786" s="2"/>
    </row>
    <row r="787" ht="15.75" customHeight="1">
      <c r="A787" s="2"/>
      <c r="B787" s="2"/>
      <c r="C787" s="2"/>
      <c r="D787" s="2"/>
      <c r="E787" s="2"/>
      <c r="F787" s="2"/>
      <c r="G787" s="2"/>
    </row>
    <row r="788" ht="15.75" customHeight="1">
      <c r="A788" s="2"/>
      <c r="B788" s="2"/>
      <c r="C788" s="2"/>
      <c r="D788" s="2"/>
      <c r="E788" s="2"/>
      <c r="F788" s="2"/>
      <c r="G788" s="2"/>
    </row>
    <row r="789" ht="15.75" customHeight="1">
      <c r="A789" s="2"/>
      <c r="B789" s="2"/>
      <c r="C789" s="2"/>
      <c r="D789" s="2"/>
      <c r="E789" s="2"/>
      <c r="F789" s="2"/>
      <c r="G789" s="2"/>
    </row>
    <row r="790" ht="15.75" customHeight="1">
      <c r="A790" s="2"/>
      <c r="B790" s="2"/>
      <c r="C790" s="2"/>
      <c r="D790" s="2"/>
      <c r="E790" s="2"/>
      <c r="F790" s="2"/>
      <c r="G790" s="2"/>
    </row>
    <row r="791" ht="15.75" customHeight="1">
      <c r="A791" s="2"/>
      <c r="B791" s="2"/>
      <c r="C791" s="2"/>
      <c r="D791" s="2"/>
      <c r="E791" s="2"/>
      <c r="F791" s="2"/>
      <c r="G791" s="2"/>
    </row>
    <row r="792" ht="15.75" customHeight="1">
      <c r="A792" s="2"/>
      <c r="B792" s="2"/>
      <c r="C792" s="2"/>
      <c r="D792" s="2"/>
      <c r="E792" s="2"/>
      <c r="F792" s="2"/>
      <c r="G792" s="2"/>
    </row>
    <row r="793" ht="15.75" customHeight="1">
      <c r="A793" s="2"/>
      <c r="B793" s="2"/>
      <c r="C793" s="2"/>
      <c r="D793" s="2"/>
      <c r="E793" s="2"/>
      <c r="F793" s="2"/>
      <c r="G793" s="2"/>
    </row>
    <row r="794" ht="15.75" customHeight="1">
      <c r="A794" s="2"/>
      <c r="B794" s="2"/>
      <c r="C794" s="2"/>
      <c r="D794" s="2"/>
      <c r="E794" s="2"/>
      <c r="F794" s="2"/>
      <c r="G794" s="2"/>
    </row>
    <row r="795" ht="15.75" customHeight="1">
      <c r="A795" s="2"/>
      <c r="B795" s="2"/>
      <c r="C795" s="2"/>
      <c r="D795" s="2"/>
      <c r="E795" s="2"/>
      <c r="F795" s="2"/>
      <c r="G795" s="2"/>
    </row>
    <row r="796" ht="15.75" customHeight="1">
      <c r="A796" s="2"/>
      <c r="B796" s="2"/>
      <c r="C796" s="2"/>
      <c r="D796" s="2"/>
      <c r="E796" s="2"/>
      <c r="F796" s="2"/>
      <c r="G796" s="2"/>
    </row>
    <row r="797" ht="15.75" customHeight="1">
      <c r="A797" s="2"/>
      <c r="B797" s="2"/>
      <c r="C797" s="2"/>
      <c r="D797" s="2"/>
      <c r="E797" s="2"/>
      <c r="F797" s="2"/>
      <c r="G797" s="2"/>
    </row>
    <row r="798" ht="15.75" customHeight="1">
      <c r="A798" s="2"/>
      <c r="B798" s="2"/>
      <c r="C798" s="2"/>
      <c r="D798" s="2"/>
      <c r="E798" s="2"/>
      <c r="F798" s="2"/>
      <c r="G798" s="2"/>
    </row>
    <row r="799" ht="15.75" customHeight="1">
      <c r="A799" s="2"/>
      <c r="B799" s="2"/>
      <c r="C799" s="2"/>
      <c r="D799" s="2"/>
      <c r="E799" s="2"/>
      <c r="F799" s="2"/>
      <c r="G799" s="2"/>
    </row>
    <row r="800" ht="15.75" customHeight="1">
      <c r="A800" s="2"/>
      <c r="B800" s="2"/>
      <c r="C800" s="2"/>
      <c r="D800" s="2"/>
      <c r="E800" s="2"/>
      <c r="F800" s="2"/>
      <c r="G800" s="2"/>
    </row>
    <row r="801" ht="15.75" customHeight="1">
      <c r="A801" s="2"/>
      <c r="B801" s="2"/>
      <c r="C801" s="2"/>
      <c r="D801" s="2"/>
      <c r="E801" s="2"/>
      <c r="F801" s="2"/>
      <c r="G801" s="2"/>
    </row>
    <row r="802" ht="15.75" customHeight="1">
      <c r="A802" s="2"/>
      <c r="B802" s="2"/>
      <c r="C802" s="2"/>
      <c r="D802" s="2"/>
      <c r="E802" s="2"/>
      <c r="F802" s="2"/>
      <c r="G802" s="2"/>
    </row>
    <row r="803" ht="15.75" customHeight="1">
      <c r="A803" s="2"/>
      <c r="B803" s="2"/>
      <c r="C803" s="2"/>
      <c r="D803" s="2"/>
      <c r="E803" s="2"/>
      <c r="F803" s="2"/>
      <c r="G803" s="2"/>
    </row>
    <row r="804" ht="15.75" customHeight="1">
      <c r="A804" s="2"/>
      <c r="B804" s="2"/>
      <c r="C804" s="2"/>
      <c r="D804" s="2"/>
      <c r="E804" s="2"/>
      <c r="F804" s="2"/>
      <c r="G804" s="2"/>
    </row>
    <row r="805" ht="15.75" customHeight="1">
      <c r="A805" s="2"/>
      <c r="B805" s="2"/>
      <c r="C805" s="2"/>
      <c r="D805" s="2"/>
      <c r="E805" s="2"/>
      <c r="F805" s="2"/>
      <c r="G805" s="2"/>
    </row>
    <row r="806" ht="15.75" customHeight="1">
      <c r="A806" s="2"/>
      <c r="B806" s="2"/>
      <c r="C806" s="2"/>
      <c r="D806" s="2"/>
      <c r="E806" s="2"/>
      <c r="F806" s="2"/>
      <c r="G806" s="2"/>
    </row>
    <row r="807" ht="15.75" customHeight="1">
      <c r="A807" s="2"/>
      <c r="B807" s="2"/>
      <c r="C807" s="2"/>
      <c r="D807" s="2"/>
      <c r="E807" s="2"/>
      <c r="F807" s="2"/>
      <c r="G807" s="2"/>
    </row>
    <row r="808" ht="15.75" customHeight="1">
      <c r="A808" s="2"/>
      <c r="B808" s="2"/>
      <c r="C808" s="2"/>
      <c r="D808" s="2"/>
      <c r="E808" s="2"/>
      <c r="F808" s="2"/>
      <c r="G808" s="2"/>
    </row>
    <row r="809" ht="15.75" customHeight="1">
      <c r="A809" s="2"/>
      <c r="B809" s="2"/>
      <c r="C809" s="2"/>
      <c r="D809" s="2"/>
      <c r="E809" s="2"/>
      <c r="F809" s="2"/>
      <c r="G809" s="2"/>
    </row>
    <row r="810" ht="15.75" customHeight="1">
      <c r="A810" s="2"/>
      <c r="B810" s="2"/>
      <c r="C810" s="2"/>
      <c r="D810" s="2"/>
      <c r="E810" s="2"/>
      <c r="F810" s="2"/>
      <c r="G810" s="2"/>
    </row>
    <row r="811" ht="15.75" customHeight="1">
      <c r="A811" s="2"/>
      <c r="B811" s="2"/>
      <c r="C811" s="2"/>
      <c r="D811" s="2"/>
      <c r="E811" s="2"/>
      <c r="F811" s="2"/>
      <c r="G811" s="2"/>
    </row>
    <row r="812" ht="15.75" customHeight="1">
      <c r="A812" s="2"/>
      <c r="B812" s="2"/>
      <c r="C812" s="2"/>
      <c r="D812" s="2"/>
      <c r="E812" s="2"/>
      <c r="F812" s="2"/>
      <c r="G812" s="2"/>
    </row>
    <row r="813" ht="15.75" customHeight="1">
      <c r="A813" s="2"/>
      <c r="B813" s="2"/>
      <c r="C813" s="2"/>
      <c r="D813" s="2"/>
      <c r="E813" s="2"/>
      <c r="F813" s="2"/>
      <c r="G813" s="2"/>
    </row>
    <row r="814" ht="15.75" customHeight="1">
      <c r="A814" s="2"/>
      <c r="B814" s="2"/>
      <c r="C814" s="2"/>
      <c r="D814" s="2"/>
      <c r="E814" s="2"/>
      <c r="F814" s="2"/>
      <c r="G814" s="2"/>
    </row>
    <row r="815" ht="15.75" customHeight="1">
      <c r="A815" s="2"/>
      <c r="B815" s="2"/>
      <c r="C815" s="2"/>
      <c r="D815" s="2"/>
      <c r="E815" s="2"/>
      <c r="F815" s="2"/>
      <c r="G815" s="2"/>
    </row>
    <row r="816" ht="15.75" customHeight="1">
      <c r="A816" s="2"/>
      <c r="B816" s="2"/>
      <c r="C816" s="2"/>
      <c r="D816" s="2"/>
      <c r="E816" s="2"/>
      <c r="F816" s="2"/>
      <c r="G816" s="2"/>
    </row>
    <row r="817" ht="15.75" customHeight="1">
      <c r="A817" s="2"/>
      <c r="B817" s="2"/>
      <c r="C817" s="2"/>
      <c r="D817" s="2"/>
      <c r="E817" s="2"/>
      <c r="F817" s="2"/>
      <c r="G817" s="2"/>
    </row>
    <row r="818" ht="15.75" customHeight="1">
      <c r="A818" s="2"/>
      <c r="B818" s="2"/>
      <c r="C818" s="2"/>
      <c r="D818" s="2"/>
      <c r="E818" s="2"/>
      <c r="F818" s="2"/>
      <c r="G818" s="2"/>
    </row>
    <row r="819" ht="15.75" customHeight="1">
      <c r="A819" s="2"/>
      <c r="B819" s="2"/>
      <c r="C819" s="2"/>
      <c r="D819" s="2"/>
      <c r="E819" s="2"/>
      <c r="F819" s="2"/>
      <c r="G819" s="2"/>
    </row>
    <row r="820" ht="15.75" customHeight="1">
      <c r="A820" s="2"/>
      <c r="B820" s="2"/>
      <c r="C820" s="2"/>
      <c r="D820" s="2"/>
      <c r="E820" s="2"/>
      <c r="F820" s="2"/>
      <c r="G820" s="2"/>
    </row>
    <row r="821" ht="15.75" customHeight="1">
      <c r="A821" s="2"/>
      <c r="B821" s="2"/>
      <c r="C821" s="2"/>
      <c r="D821" s="2"/>
      <c r="E821" s="2"/>
      <c r="F821" s="2"/>
      <c r="G821" s="2"/>
    </row>
    <row r="822" ht="15.75" customHeight="1">
      <c r="A822" s="2"/>
      <c r="B822" s="2"/>
      <c r="C822" s="2"/>
      <c r="D822" s="2"/>
      <c r="E822" s="2"/>
      <c r="F822" s="2"/>
      <c r="G822" s="2"/>
    </row>
    <row r="823" ht="15.75" customHeight="1">
      <c r="A823" s="2"/>
      <c r="B823" s="2"/>
      <c r="C823" s="2"/>
      <c r="D823" s="2"/>
      <c r="E823" s="2"/>
      <c r="F823" s="2"/>
      <c r="G823" s="2"/>
    </row>
    <row r="824" ht="15.75" customHeight="1">
      <c r="A824" s="2"/>
      <c r="B824" s="2"/>
      <c r="C824" s="2"/>
      <c r="D824" s="2"/>
      <c r="E824" s="2"/>
      <c r="F824" s="2"/>
      <c r="G824" s="2"/>
    </row>
    <row r="825" ht="15.75" customHeight="1">
      <c r="A825" s="2"/>
      <c r="B825" s="2"/>
      <c r="C825" s="2"/>
      <c r="D825" s="2"/>
      <c r="E825" s="2"/>
      <c r="F825" s="2"/>
      <c r="G825" s="2"/>
    </row>
    <row r="826" ht="15.75" customHeight="1">
      <c r="A826" s="2"/>
      <c r="B826" s="2"/>
      <c r="C826" s="2"/>
      <c r="D826" s="2"/>
      <c r="E826" s="2"/>
      <c r="F826" s="2"/>
      <c r="G826" s="2"/>
    </row>
    <row r="827" ht="15.75" customHeight="1">
      <c r="A827" s="2"/>
      <c r="B827" s="2"/>
      <c r="C827" s="2"/>
      <c r="D827" s="2"/>
      <c r="E827" s="2"/>
      <c r="F827" s="2"/>
      <c r="G827" s="2"/>
    </row>
    <row r="828" ht="15.75" customHeight="1">
      <c r="A828" s="2"/>
      <c r="B828" s="2"/>
      <c r="C828" s="2"/>
      <c r="D828" s="2"/>
      <c r="E828" s="2"/>
      <c r="F828" s="2"/>
      <c r="G828" s="2"/>
    </row>
    <row r="829" ht="15.75" customHeight="1">
      <c r="A829" s="2"/>
      <c r="B829" s="2"/>
      <c r="C829" s="2"/>
      <c r="D829" s="2"/>
      <c r="E829" s="2"/>
      <c r="F829" s="2"/>
      <c r="G829" s="2"/>
    </row>
    <row r="830" ht="15.75" customHeight="1">
      <c r="A830" s="2"/>
      <c r="B830" s="2"/>
      <c r="C830" s="2"/>
      <c r="D830" s="2"/>
      <c r="E830" s="2"/>
      <c r="F830" s="2"/>
      <c r="G830" s="2"/>
    </row>
    <row r="831" ht="15.75" customHeight="1">
      <c r="A831" s="2"/>
      <c r="B831" s="2"/>
      <c r="C831" s="2"/>
      <c r="D831" s="2"/>
      <c r="E831" s="2"/>
      <c r="F831" s="2"/>
      <c r="G831" s="2"/>
    </row>
    <row r="832" ht="15.75" customHeight="1">
      <c r="A832" s="2"/>
      <c r="B832" s="2"/>
      <c r="C832" s="2"/>
      <c r="D832" s="2"/>
      <c r="E832" s="2"/>
      <c r="F832" s="2"/>
      <c r="G832" s="2"/>
    </row>
    <row r="833" ht="15.75" customHeight="1">
      <c r="A833" s="2"/>
      <c r="B833" s="2"/>
      <c r="C833" s="2"/>
      <c r="D833" s="2"/>
      <c r="E833" s="2"/>
      <c r="F833" s="2"/>
      <c r="G833" s="2"/>
    </row>
    <row r="834" ht="15.75" customHeight="1">
      <c r="A834" s="2"/>
      <c r="B834" s="2"/>
      <c r="C834" s="2"/>
      <c r="D834" s="2"/>
      <c r="E834" s="2"/>
      <c r="F834" s="2"/>
      <c r="G834" s="2"/>
    </row>
    <row r="835" ht="15.75" customHeight="1">
      <c r="A835" s="2"/>
      <c r="B835" s="2"/>
      <c r="C835" s="2"/>
      <c r="D835" s="2"/>
      <c r="E835" s="2"/>
      <c r="F835" s="2"/>
      <c r="G835" s="2"/>
    </row>
    <row r="836" ht="15.75" customHeight="1">
      <c r="A836" s="2"/>
      <c r="B836" s="2"/>
      <c r="C836" s="2"/>
      <c r="D836" s="2"/>
      <c r="E836" s="2"/>
      <c r="F836" s="2"/>
      <c r="G836" s="2"/>
    </row>
    <row r="837" ht="15.75" customHeight="1">
      <c r="A837" s="2"/>
      <c r="B837" s="2"/>
      <c r="C837" s="2"/>
      <c r="D837" s="2"/>
      <c r="E837" s="2"/>
      <c r="F837" s="2"/>
      <c r="G837" s="2"/>
    </row>
    <row r="838" ht="15.75" customHeight="1">
      <c r="A838" s="2"/>
      <c r="B838" s="2"/>
      <c r="C838" s="2"/>
      <c r="D838" s="2"/>
      <c r="E838" s="2"/>
      <c r="F838" s="2"/>
      <c r="G838" s="2"/>
    </row>
    <row r="839" ht="15.75" customHeight="1">
      <c r="A839" s="2"/>
      <c r="B839" s="2"/>
      <c r="C839" s="2"/>
      <c r="D839" s="2"/>
      <c r="E839" s="2"/>
      <c r="F839" s="2"/>
      <c r="G839" s="2"/>
    </row>
    <row r="840" ht="15.75" customHeight="1">
      <c r="A840" s="2"/>
      <c r="B840" s="2"/>
      <c r="C840" s="2"/>
      <c r="D840" s="2"/>
      <c r="E840" s="2"/>
      <c r="F840" s="2"/>
      <c r="G840" s="2"/>
    </row>
    <row r="841" ht="15.75" customHeight="1">
      <c r="A841" s="2"/>
      <c r="B841" s="2"/>
      <c r="C841" s="2"/>
      <c r="D841" s="2"/>
      <c r="E841" s="2"/>
      <c r="F841" s="2"/>
      <c r="G841" s="2"/>
    </row>
    <row r="842" ht="15.75" customHeight="1">
      <c r="A842" s="2"/>
      <c r="B842" s="2"/>
      <c r="C842" s="2"/>
      <c r="D842" s="2"/>
      <c r="E842" s="2"/>
      <c r="F842" s="2"/>
      <c r="G842" s="2"/>
    </row>
    <row r="843" ht="15.75" customHeight="1">
      <c r="A843" s="2"/>
      <c r="B843" s="2"/>
      <c r="C843" s="2"/>
      <c r="D843" s="2"/>
      <c r="E843" s="2"/>
      <c r="F843" s="2"/>
      <c r="G843" s="2"/>
    </row>
    <row r="844" ht="15.75" customHeight="1">
      <c r="A844" s="2"/>
      <c r="B844" s="2"/>
      <c r="C844" s="2"/>
      <c r="D844" s="2"/>
      <c r="E844" s="2"/>
      <c r="F844" s="2"/>
      <c r="G844" s="2"/>
    </row>
    <row r="845" ht="15.75" customHeight="1">
      <c r="A845" s="2"/>
      <c r="B845" s="2"/>
      <c r="C845" s="2"/>
      <c r="D845" s="2"/>
      <c r="E845" s="2"/>
      <c r="F845" s="2"/>
      <c r="G845" s="2"/>
    </row>
    <row r="846" ht="15.75" customHeight="1">
      <c r="A846" s="2"/>
      <c r="B846" s="2"/>
      <c r="C846" s="2"/>
      <c r="D846" s="2"/>
      <c r="E846" s="2"/>
      <c r="F846" s="2"/>
      <c r="G846" s="2"/>
    </row>
    <row r="847" ht="15.75" customHeight="1">
      <c r="A847" s="2"/>
      <c r="B847" s="2"/>
      <c r="C847" s="2"/>
      <c r="D847" s="2"/>
      <c r="E847" s="2"/>
      <c r="F847" s="2"/>
      <c r="G847" s="2"/>
    </row>
    <row r="848" ht="15.75" customHeight="1">
      <c r="A848" s="2"/>
      <c r="B848" s="2"/>
      <c r="C848" s="2"/>
      <c r="D848" s="2"/>
      <c r="E848" s="2"/>
      <c r="F848" s="2"/>
      <c r="G848" s="2"/>
    </row>
    <row r="849" ht="15.75" customHeight="1">
      <c r="A849" s="2"/>
      <c r="B849" s="2"/>
      <c r="C849" s="2"/>
      <c r="D849" s="2"/>
      <c r="E849" s="2"/>
      <c r="F849" s="2"/>
      <c r="G849" s="2"/>
    </row>
    <row r="850" ht="15.75" customHeight="1">
      <c r="A850" s="2"/>
      <c r="B850" s="2"/>
      <c r="C850" s="2"/>
      <c r="D850" s="2"/>
      <c r="E850" s="2"/>
      <c r="F850" s="2"/>
      <c r="G850" s="2"/>
    </row>
    <row r="851" ht="15.75" customHeight="1">
      <c r="A851" s="2"/>
      <c r="B851" s="2"/>
      <c r="C851" s="2"/>
      <c r="D851" s="2"/>
      <c r="E851" s="2"/>
      <c r="F851" s="2"/>
      <c r="G851" s="2"/>
    </row>
    <row r="852" ht="15.75" customHeight="1">
      <c r="A852" s="2"/>
      <c r="B852" s="2"/>
      <c r="C852" s="2"/>
      <c r="D852" s="2"/>
      <c r="E852" s="2"/>
      <c r="F852" s="2"/>
      <c r="G852" s="2"/>
    </row>
    <row r="853" ht="15.75" customHeight="1">
      <c r="A853" s="2"/>
      <c r="B853" s="2"/>
      <c r="C853" s="2"/>
      <c r="D853" s="2"/>
      <c r="E853" s="2"/>
      <c r="F853" s="2"/>
      <c r="G853" s="2"/>
    </row>
    <row r="854" ht="15.75" customHeight="1">
      <c r="A854" s="2"/>
      <c r="B854" s="2"/>
      <c r="C854" s="2"/>
      <c r="D854" s="2"/>
      <c r="E854" s="2"/>
      <c r="F854" s="2"/>
      <c r="G854" s="2"/>
    </row>
    <row r="855" ht="15.75" customHeight="1">
      <c r="A855" s="2"/>
      <c r="B855" s="2"/>
      <c r="C855" s="2"/>
      <c r="D855" s="2"/>
      <c r="E855" s="2"/>
      <c r="F855" s="2"/>
      <c r="G855" s="2"/>
    </row>
    <row r="856" ht="15.75" customHeight="1">
      <c r="A856" s="2"/>
      <c r="B856" s="2"/>
      <c r="C856" s="2"/>
      <c r="D856" s="2"/>
      <c r="E856" s="2"/>
      <c r="F856" s="2"/>
      <c r="G856" s="2"/>
    </row>
    <row r="857" ht="15.75" customHeight="1">
      <c r="A857" s="2"/>
      <c r="B857" s="2"/>
      <c r="C857" s="2"/>
      <c r="D857" s="2"/>
      <c r="E857" s="2"/>
      <c r="F857" s="2"/>
      <c r="G857" s="2"/>
    </row>
    <row r="858" ht="15.75" customHeight="1">
      <c r="A858" s="2"/>
      <c r="B858" s="2"/>
      <c r="C858" s="2"/>
      <c r="D858" s="2"/>
      <c r="E858" s="2"/>
      <c r="F858" s="2"/>
      <c r="G858" s="2"/>
    </row>
    <row r="859" ht="15.75" customHeight="1">
      <c r="A859" s="2"/>
      <c r="B859" s="2"/>
      <c r="C859" s="2"/>
      <c r="D859" s="2"/>
      <c r="E859" s="2"/>
      <c r="F859" s="2"/>
      <c r="G859" s="2"/>
    </row>
    <row r="860" ht="15.75" customHeight="1">
      <c r="A860" s="2"/>
      <c r="B860" s="2"/>
      <c r="C860" s="2"/>
      <c r="D860" s="2"/>
      <c r="E860" s="2"/>
      <c r="F860" s="2"/>
      <c r="G860" s="2"/>
    </row>
    <row r="861" ht="15.75" customHeight="1">
      <c r="A861" s="2"/>
      <c r="B861" s="2"/>
      <c r="C861" s="2"/>
      <c r="D861" s="2"/>
      <c r="E861" s="2"/>
      <c r="F861" s="2"/>
      <c r="G861" s="2"/>
    </row>
    <row r="862" ht="15.75" customHeight="1">
      <c r="A862" s="2"/>
      <c r="B862" s="2"/>
      <c r="C862" s="2"/>
      <c r="D862" s="2"/>
      <c r="E862" s="2"/>
      <c r="F862" s="2"/>
      <c r="G862" s="2"/>
    </row>
    <row r="863" ht="15.75" customHeight="1">
      <c r="A863" s="2"/>
      <c r="B863" s="2"/>
      <c r="C863" s="2"/>
      <c r="D863" s="2"/>
      <c r="E863" s="2"/>
      <c r="F863" s="2"/>
      <c r="G863" s="2"/>
    </row>
    <row r="864" ht="15.75" customHeight="1">
      <c r="A864" s="2"/>
      <c r="B864" s="2"/>
      <c r="C864" s="2"/>
      <c r="D864" s="2"/>
      <c r="E864" s="2"/>
      <c r="F864" s="2"/>
      <c r="G864" s="2"/>
    </row>
    <row r="865" ht="15.75" customHeight="1">
      <c r="A865" s="2"/>
      <c r="B865" s="2"/>
      <c r="C865" s="2"/>
      <c r="D865" s="2"/>
      <c r="E865" s="2"/>
      <c r="F865" s="2"/>
      <c r="G865" s="2"/>
    </row>
    <row r="866" ht="15.75" customHeight="1">
      <c r="A866" s="2"/>
      <c r="B866" s="2"/>
      <c r="C866" s="2"/>
      <c r="D866" s="2"/>
      <c r="E866" s="2"/>
      <c r="F866" s="2"/>
      <c r="G866" s="2"/>
    </row>
    <row r="867" ht="15.75" customHeight="1">
      <c r="A867" s="2"/>
      <c r="B867" s="2"/>
      <c r="C867" s="2"/>
      <c r="D867" s="2"/>
      <c r="E867" s="2"/>
      <c r="F867" s="2"/>
      <c r="G867" s="2"/>
    </row>
    <row r="868" ht="15.75" customHeight="1">
      <c r="A868" s="2"/>
      <c r="B868" s="2"/>
      <c r="C868" s="2"/>
      <c r="D868" s="2"/>
      <c r="E868" s="2"/>
      <c r="F868" s="2"/>
      <c r="G868" s="2"/>
    </row>
    <row r="869" ht="15.75" customHeight="1">
      <c r="A869" s="2"/>
      <c r="B869" s="2"/>
      <c r="C869" s="2"/>
      <c r="D869" s="2"/>
      <c r="E869" s="2"/>
      <c r="F869" s="2"/>
      <c r="G869" s="2"/>
    </row>
    <row r="870" ht="15.75" customHeight="1">
      <c r="A870" s="2"/>
      <c r="B870" s="2"/>
      <c r="C870" s="2"/>
      <c r="D870" s="2"/>
      <c r="E870" s="2"/>
      <c r="F870" s="2"/>
      <c r="G870" s="2"/>
    </row>
    <row r="871" ht="15.75" customHeight="1">
      <c r="A871" s="2"/>
      <c r="B871" s="2"/>
      <c r="C871" s="2"/>
      <c r="D871" s="2"/>
      <c r="E871" s="2"/>
      <c r="F871" s="2"/>
      <c r="G871" s="2"/>
    </row>
    <row r="872" ht="15.75" customHeight="1">
      <c r="A872" s="2"/>
      <c r="B872" s="2"/>
      <c r="C872" s="2"/>
      <c r="D872" s="2"/>
      <c r="E872" s="2"/>
      <c r="F872" s="2"/>
      <c r="G872" s="2"/>
    </row>
    <row r="873" ht="15.75" customHeight="1">
      <c r="A873" s="2"/>
      <c r="B873" s="2"/>
      <c r="C873" s="2"/>
      <c r="D873" s="2"/>
      <c r="E873" s="2"/>
      <c r="F873" s="2"/>
      <c r="G873" s="2"/>
    </row>
    <row r="874" ht="15.75" customHeight="1">
      <c r="A874" s="2"/>
      <c r="B874" s="2"/>
      <c r="C874" s="2"/>
      <c r="D874" s="2"/>
      <c r="E874" s="2"/>
      <c r="F874" s="2"/>
      <c r="G874" s="2"/>
    </row>
    <row r="875" ht="15.75" customHeight="1">
      <c r="A875" s="2"/>
      <c r="B875" s="2"/>
      <c r="C875" s="2"/>
      <c r="D875" s="2"/>
      <c r="E875" s="2"/>
      <c r="F875" s="2"/>
      <c r="G875" s="2"/>
    </row>
    <row r="876" ht="15.75" customHeight="1">
      <c r="A876" s="2"/>
      <c r="B876" s="2"/>
      <c r="C876" s="2"/>
      <c r="D876" s="2"/>
      <c r="E876" s="2"/>
      <c r="F876" s="2"/>
      <c r="G876" s="2"/>
    </row>
    <row r="877" ht="15.75" customHeight="1">
      <c r="A877" s="2"/>
      <c r="B877" s="2"/>
      <c r="C877" s="2"/>
      <c r="D877" s="2"/>
      <c r="E877" s="2"/>
      <c r="F877" s="2"/>
      <c r="G877" s="2"/>
    </row>
    <row r="878" ht="15.75" customHeight="1">
      <c r="A878" s="2"/>
      <c r="B878" s="2"/>
      <c r="C878" s="2"/>
      <c r="D878" s="2"/>
      <c r="E878" s="2"/>
      <c r="F878" s="2"/>
      <c r="G878" s="2"/>
    </row>
    <row r="879" ht="15.75" customHeight="1">
      <c r="A879" s="2"/>
      <c r="B879" s="2"/>
      <c r="C879" s="2"/>
      <c r="D879" s="2"/>
      <c r="E879" s="2"/>
      <c r="F879" s="2"/>
      <c r="G879" s="2"/>
    </row>
    <row r="880" ht="15.75" customHeight="1">
      <c r="A880" s="2"/>
      <c r="B880" s="2"/>
      <c r="C880" s="2"/>
      <c r="D880" s="2"/>
      <c r="E880" s="2"/>
      <c r="F880" s="2"/>
      <c r="G880" s="2"/>
    </row>
    <row r="881" ht="15.75" customHeight="1">
      <c r="A881" s="2"/>
      <c r="B881" s="2"/>
      <c r="C881" s="2"/>
      <c r="D881" s="2"/>
      <c r="E881" s="2"/>
      <c r="F881" s="2"/>
      <c r="G881" s="2"/>
    </row>
    <row r="882" ht="15.75" customHeight="1">
      <c r="A882" s="2"/>
      <c r="B882" s="2"/>
      <c r="C882" s="2"/>
      <c r="D882" s="2"/>
      <c r="E882" s="2"/>
      <c r="F882" s="2"/>
      <c r="G882" s="2"/>
    </row>
    <row r="883" ht="15.75" customHeight="1">
      <c r="A883" s="2"/>
      <c r="B883" s="2"/>
      <c r="C883" s="2"/>
      <c r="D883" s="2"/>
      <c r="E883" s="2"/>
      <c r="F883" s="2"/>
      <c r="G883" s="2"/>
    </row>
    <row r="884" ht="15.75" customHeight="1">
      <c r="A884" s="2"/>
      <c r="B884" s="2"/>
      <c r="C884" s="2"/>
      <c r="D884" s="2"/>
      <c r="E884" s="2"/>
      <c r="F884" s="2"/>
      <c r="G884" s="2"/>
    </row>
    <row r="885" ht="15.75" customHeight="1">
      <c r="A885" s="2"/>
      <c r="B885" s="2"/>
      <c r="C885" s="2"/>
      <c r="D885" s="2"/>
      <c r="E885" s="2"/>
      <c r="F885" s="2"/>
      <c r="G885" s="2"/>
    </row>
    <row r="886" ht="15.75" customHeight="1">
      <c r="A886" s="2"/>
      <c r="B886" s="2"/>
      <c r="C886" s="2"/>
      <c r="D886" s="2"/>
      <c r="E886" s="2"/>
      <c r="F886" s="2"/>
      <c r="G886" s="2"/>
    </row>
    <row r="887" ht="15.75" customHeight="1">
      <c r="A887" s="2"/>
      <c r="B887" s="2"/>
      <c r="C887" s="2"/>
      <c r="D887" s="2"/>
      <c r="E887" s="2"/>
      <c r="F887" s="2"/>
      <c r="G887" s="2"/>
    </row>
    <row r="888" ht="15.75" customHeight="1">
      <c r="A888" s="2"/>
      <c r="B888" s="2"/>
      <c r="C888" s="2"/>
      <c r="D888" s="2"/>
      <c r="E888" s="2"/>
      <c r="F888" s="2"/>
      <c r="G888" s="2"/>
    </row>
    <row r="889" ht="15.75" customHeight="1">
      <c r="A889" s="2"/>
      <c r="B889" s="2"/>
      <c r="C889" s="2"/>
      <c r="D889" s="2"/>
      <c r="E889" s="2"/>
      <c r="F889" s="2"/>
      <c r="G889" s="2"/>
    </row>
    <row r="890" ht="15.75" customHeight="1">
      <c r="A890" s="2"/>
      <c r="B890" s="2"/>
      <c r="C890" s="2"/>
      <c r="D890" s="2"/>
      <c r="E890" s="2"/>
      <c r="F890" s="2"/>
      <c r="G890" s="2"/>
    </row>
    <row r="891" ht="15.75" customHeight="1">
      <c r="A891" s="2"/>
      <c r="B891" s="2"/>
      <c r="C891" s="2"/>
      <c r="D891" s="2"/>
      <c r="E891" s="2"/>
      <c r="F891" s="2"/>
      <c r="G891" s="2"/>
    </row>
    <row r="892" ht="15.75" customHeight="1">
      <c r="A892" s="2"/>
      <c r="B892" s="2"/>
      <c r="C892" s="2"/>
      <c r="D892" s="2"/>
      <c r="E892" s="2"/>
      <c r="F892" s="2"/>
      <c r="G892" s="2"/>
    </row>
    <row r="893" ht="15.75" customHeight="1">
      <c r="A893" s="2"/>
      <c r="B893" s="2"/>
      <c r="C893" s="2"/>
      <c r="D893" s="2"/>
      <c r="E893" s="2"/>
      <c r="F893" s="2"/>
      <c r="G893" s="2"/>
    </row>
    <row r="894" ht="15.75" customHeight="1">
      <c r="A894" s="2"/>
      <c r="B894" s="2"/>
      <c r="C894" s="2"/>
      <c r="D894" s="2"/>
      <c r="E894" s="2"/>
      <c r="F894" s="2"/>
      <c r="G894" s="2"/>
    </row>
    <row r="895" ht="15.75" customHeight="1">
      <c r="A895" s="2"/>
      <c r="B895" s="2"/>
      <c r="C895" s="2"/>
      <c r="D895" s="2"/>
      <c r="E895" s="2"/>
      <c r="F895" s="2"/>
      <c r="G895" s="2"/>
    </row>
    <row r="896" ht="15.75" customHeight="1">
      <c r="A896" s="2"/>
      <c r="B896" s="2"/>
      <c r="C896" s="2"/>
      <c r="D896" s="2"/>
      <c r="E896" s="2"/>
      <c r="F896" s="2"/>
      <c r="G896" s="2"/>
    </row>
    <row r="897" ht="15.75" customHeight="1">
      <c r="A897" s="2"/>
      <c r="B897" s="2"/>
      <c r="C897" s="2"/>
      <c r="D897" s="2"/>
      <c r="E897" s="2"/>
      <c r="F897" s="2"/>
      <c r="G897" s="2"/>
    </row>
    <row r="898" ht="15.75" customHeight="1">
      <c r="A898" s="2"/>
      <c r="B898" s="2"/>
      <c r="C898" s="2"/>
      <c r="D898" s="2"/>
      <c r="E898" s="2"/>
      <c r="F898" s="2"/>
      <c r="G898" s="2"/>
    </row>
    <row r="899" ht="15.75" customHeight="1">
      <c r="A899" s="2"/>
      <c r="B899" s="2"/>
      <c r="C899" s="2"/>
      <c r="D899" s="2"/>
      <c r="E899" s="2"/>
      <c r="F899" s="2"/>
      <c r="G899" s="2"/>
    </row>
    <row r="900" ht="15.75" customHeight="1">
      <c r="A900" s="2"/>
      <c r="B900" s="2"/>
      <c r="C900" s="2"/>
      <c r="D900" s="2"/>
      <c r="E900" s="2"/>
      <c r="F900" s="2"/>
      <c r="G900" s="2"/>
    </row>
    <row r="901" ht="15.75" customHeight="1">
      <c r="A901" s="2"/>
      <c r="B901" s="2"/>
      <c r="C901" s="2"/>
      <c r="D901" s="2"/>
      <c r="E901" s="2"/>
      <c r="F901" s="2"/>
      <c r="G901" s="2"/>
    </row>
    <row r="902" ht="15.75" customHeight="1">
      <c r="A902" s="2"/>
      <c r="B902" s="2"/>
      <c r="C902" s="2"/>
      <c r="D902" s="2"/>
      <c r="E902" s="2"/>
      <c r="F902" s="2"/>
      <c r="G902" s="2"/>
    </row>
    <row r="903" ht="15.75" customHeight="1">
      <c r="A903" s="2"/>
      <c r="B903" s="2"/>
      <c r="C903" s="2"/>
      <c r="D903" s="2"/>
      <c r="E903" s="2"/>
      <c r="F903" s="2"/>
      <c r="G903" s="2"/>
    </row>
    <row r="904" ht="15.75" customHeight="1">
      <c r="A904" s="2"/>
      <c r="B904" s="2"/>
      <c r="C904" s="2"/>
      <c r="D904" s="2"/>
      <c r="E904" s="2"/>
      <c r="F904" s="2"/>
      <c r="G904" s="2"/>
    </row>
    <row r="905" ht="15.75" customHeight="1">
      <c r="A905" s="2"/>
      <c r="B905" s="2"/>
      <c r="C905" s="2"/>
      <c r="D905" s="2"/>
      <c r="E905" s="2"/>
      <c r="F905" s="2"/>
      <c r="G905" s="2"/>
    </row>
    <row r="906" ht="15.75" customHeight="1">
      <c r="A906" s="2"/>
      <c r="B906" s="2"/>
      <c r="C906" s="2"/>
      <c r="D906" s="2"/>
      <c r="E906" s="2"/>
      <c r="F906" s="2"/>
      <c r="G906" s="2"/>
    </row>
    <row r="907" ht="15.75" customHeight="1">
      <c r="A907" s="2"/>
      <c r="B907" s="2"/>
      <c r="C907" s="2"/>
      <c r="D907" s="2"/>
      <c r="E907" s="2"/>
      <c r="F907" s="2"/>
      <c r="G907" s="2"/>
    </row>
    <row r="908" ht="15.75" customHeight="1">
      <c r="A908" s="2"/>
      <c r="B908" s="2"/>
      <c r="C908" s="2"/>
      <c r="D908" s="2"/>
      <c r="E908" s="2"/>
      <c r="F908" s="2"/>
      <c r="G908" s="2"/>
    </row>
    <row r="909" ht="15.75" customHeight="1">
      <c r="A909" s="2"/>
      <c r="B909" s="2"/>
      <c r="C909" s="2"/>
      <c r="D909" s="2"/>
      <c r="E909" s="2"/>
      <c r="F909" s="2"/>
      <c r="G909" s="2"/>
    </row>
    <row r="910" ht="15.75" customHeight="1">
      <c r="A910" s="2"/>
      <c r="B910" s="2"/>
      <c r="C910" s="2"/>
      <c r="D910" s="2"/>
      <c r="E910" s="2"/>
      <c r="F910" s="2"/>
      <c r="G910" s="2"/>
    </row>
    <row r="911" ht="15.75" customHeight="1">
      <c r="A911" s="2"/>
      <c r="B911" s="2"/>
      <c r="C911" s="2"/>
      <c r="D911" s="2"/>
      <c r="E911" s="2"/>
      <c r="F911" s="2"/>
      <c r="G911" s="2"/>
    </row>
    <row r="912" ht="15.75" customHeight="1">
      <c r="A912" s="2"/>
      <c r="B912" s="2"/>
      <c r="C912" s="2"/>
      <c r="D912" s="2"/>
      <c r="E912" s="2"/>
      <c r="F912" s="2"/>
      <c r="G912" s="2"/>
    </row>
    <row r="913" ht="15.75" customHeight="1">
      <c r="A913" s="2"/>
      <c r="B913" s="2"/>
      <c r="C913" s="2"/>
      <c r="D913" s="2"/>
      <c r="E913" s="2"/>
      <c r="F913" s="2"/>
      <c r="G913" s="2"/>
    </row>
    <row r="914" ht="15.75" customHeight="1">
      <c r="A914" s="2"/>
      <c r="B914" s="2"/>
      <c r="C914" s="2"/>
      <c r="D914" s="2"/>
      <c r="E914" s="2"/>
      <c r="F914" s="2"/>
      <c r="G914" s="2"/>
    </row>
    <row r="915" ht="15.75" customHeight="1">
      <c r="A915" s="2"/>
      <c r="B915" s="2"/>
      <c r="C915" s="2"/>
      <c r="D915" s="2"/>
      <c r="E915" s="2"/>
      <c r="F915" s="2"/>
      <c r="G915" s="2"/>
    </row>
    <row r="916" ht="15.75" customHeight="1">
      <c r="A916" s="2"/>
      <c r="B916" s="2"/>
      <c r="C916" s="2"/>
      <c r="D916" s="2"/>
      <c r="E916" s="2"/>
      <c r="F916" s="2"/>
      <c r="G916" s="2"/>
    </row>
    <row r="917" ht="15.75" customHeight="1">
      <c r="A917" s="2"/>
      <c r="B917" s="2"/>
      <c r="C917" s="2"/>
      <c r="D917" s="2"/>
      <c r="E917" s="2"/>
      <c r="F917" s="2"/>
      <c r="G917" s="2"/>
    </row>
    <row r="918" ht="15.75" customHeight="1">
      <c r="A918" s="2"/>
      <c r="B918" s="2"/>
      <c r="C918" s="2"/>
      <c r="D918" s="2"/>
      <c r="E918" s="2"/>
      <c r="F918" s="2"/>
      <c r="G918" s="2"/>
    </row>
    <row r="919" ht="15.75" customHeight="1">
      <c r="A919" s="2"/>
      <c r="B919" s="2"/>
      <c r="C919" s="2"/>
      <c r="D919" s="2"/>
      <c r="E919" s="2"/>
      <c r="F919" s="2"/>
      <c r="G919" s="2"/>
    </row>
    <row r="920" ht="15.75" customHeight="1">
      <c r="A920" s="2"/>
      <c r="B920" s="2"/>
      <c r="C920" s="2"/>
      <c r="D920" s="2"/>
      <c r="E920" s="2"/>
      <c r="F920" s="2"/>
      <c r="G920" s="2"/>
    </row>
    <row r="921" ht="15.75" customHeight="1">
      <c r="A921" s="2"/>
      <c r="B921" s="2"/>
      <c r="C921" s="2"/>
      <c r="D921" s="2"/>
      <c r="E921" s="2"/>
      <c r="F921" s="2"/>
      <c r="G921" s="2"/>
    </row>
    <row r="922" ht="15.75" customHeight="1">
      <c r="A922" s="2"/>
      <c r="B922" s="2"/>
      <c r="C922" s="2"/>
      <c r="D922" s="2"/>
      <c r="E922" s="2"/>
      <c r="F922" s="2"/>
      <c r="G922" s="2"/>
    </row>
    <row r="923" ht="15.75" customHeight="1">
      <c r="A923" s="2"/>
      <c r="B923" s="2"/>
      <c r="C923" s="2"/>
      <c r="D923" s="2"/>
      <c r="E923" s="2"/>
      <c r="F923" s="2"/>
      <c r="G923" s="2"/>
    </row>
    <row r="924" ht="15.75" customHeight="1">
      <c r="A924" s="2"/>
      <c r="B924" s="2"/>
      <c r="C924" s="2"/>
      <c r="D924" s="2"/>
      <c r="E924" s="2"/>
      <c r="F924" s="2"/>
      <c r="G924" s="2"/>
    </row>
    <row r="925" ht="15.75" customHeight="1">
      <c r="A925" s="2"/>
      <c r="B925" s="2"/>
      <c r="C925" s="2"/>
      <c r="D925" s="2"/>
      <c r="E925" s="2"/>
      <c r="F925" s="2"/>
      <c r="G925" s="2"/>
    </row>
    <row r="926" ht="15.75" customHeight="1">
      <c r="A926" s="2"/>
      <c r="B926" s="2"/>
      <c r="C926" s="2"/>
      <c r="D926" s="2"/>
      <c r="E926" s="2"/>
      <c r="F926" s="2"/>
      <c r="G926" s="2"/>
    </row>
    <row r="927" ht="15.75" customHeight="1">
      <c r="A927" s="2"/>
      <c r="B927" s="2"/>
      <c r="C927" s="2"/>
      <c r="D927" s="2"/>
      <c r="E927" s="2"/>
      <c r="F927" s="2"/>
      <c r="G927" s="2"/>
    </row>
    <row r="928" ht="15.75" customHeight="1">
      <c r="A928" s="2"/>
      <c r="B928" s="2"/>
      <c r="C928" s="2"/>
      <c r="D928" s="2"/>
      <c r="E928" s="2"/>
      <c r="F928" s="2"/>
      <c r="G928" s="2"/>
    </row>
    <row r="929" ht="15.75" customHeight="1">
      <c r="A929" s="2"/>
      <c r="B929" s="2"/>
      <c r="C929" s="2"/>
      <c r="D929" s="2"/>
      <c r="E929" s="2"/>
      <c r="F929" s="2"/>
      <c r="G929" s="2"/>
    </row>
    <row r="930" ht="15.75" customHeight="1">
      <c r="A930" s="2"/>
      <c r="B930" s="2"/>
      <c r="C930" s="2"/>
      <c r="D930" s="2"/>
      <c r="E930" s="2"/>
      <c r="F930" s="2"/>
      <c r="G930" s="2"/>
    </row>
    <row r="931" ht="15.75" customHeight="1">
      <c r="A931" s="2"/>
      <c r="B931" s="2"/>
      <c r="C931" s="2"/>
      <c r="D931" s="2"/>
      <c r="E931" s="2"/>
      <c r="F931" s="2"/>
      <c r="G931" s="2"/>
    </row>
    <row r="932" ht="15.75" customHeight="1">
      <c r="A932" s="2"/>
      <c r="B932" s="2"/>
      <c r="C932" s="2"/>
      <c r="D932" s="2"/>
      <c r="E932" s="2"/>
      <c r="F932" s="2"/>
      <c r="G932" s="2"/>
    </row>
    <row r="933" ht="15.75" customHeight="1">
      <c r="A933" s="2"/>
      <c r="B933" s="2"/>
      <c r="C933" s="2"/>
      <c r="D933" s="2"/>
      <c r="E933" s="2"/>
      <c r="F933" s="2"/>
      <c r="G933" s="2"/>
    </row>
    <row r="934" ht="15.75" customHeight="1">
      <c r="A934" s="2"/>
      <c r="B934" s="2"/>
      <c r="C934" s="2"/>
      <c r="D934" s="2"/>
      <c r="E934" s="2"/>
      <c r="F934" s="2"/>
      <c r="G934" s="2"/>
    </row>
    <row r="935" ht="15.75" customHeight="1">
      <c r="A935" s="2"/>
      <c r="B935" s="2"/>
      <c r="C935" s="2"/>
      <c r="D935" s="2"/>
      <c r="E935" s="2"/>
      <c r="F935" s="2"/>
      <c r="G935" s="2"/>
    </row>
    <row r="936" ht="15.75" customHeight="1">
      <c r="A936" s="2"/>
      <c r="B936" s="2"/>
      <c r="C936" s="2"/>
      <c r="D936" s="2"/>
      <c r="E936" s="2"/>
      <c r="F936" s="2"/>
      <c r="G936" s="2"/>
    </row>
    <row r="937" ht="15.75" customHeight="1">
      <c r="A937" s="2"/>
      <c r="B937" s="2"/>
      <c r="C937" s="2"/>
      <c r="D937" s="2"/>
      <c r="E937" s="2"/>
      <c r="F937" s="2"/>
      <c r="G937" s="2"/>
    </row>
    <row r="938" ht="15.75" customHeight="1">
      <c r="A938" s="2"/>
      <c r="B938" s="2"/>
      <c r="C938" s="2"/>
      <c r="D938" s="2"/>
      <c r="E938" s="2"/>
      <c r="F938" s="2"/>
      <c r="G938" s="2"/>
    </row>
    <row r="939" ht="15.75" customHeight="1">
      <c r="A939" s="2"/>
      <c r="B939" s="2"/>
      <c r="C939" s="2"/>
      <c r="D939" s="2"/>
      <c r="E939" s="2"/>
      <c r="F939" s="2"/>
      <c r="G939" s="2"/>
    </row>
    <row r="940" ht="15.75" customHeight="1">
      <c r="A940" s="2"/>
      <c r="B940" s="2"/>
      <c r="C940" s="2"/>
      <c r="D940" s="2"/>
      <c r="E940" s="2"/>
      <c r="F940" s="2"/>
      <c r="G940" s="2"/>
    </row>
    <row r="941" ht="15.75" customHeight="1">
      <c r="A941" s="2"/>
      <c r="B941" s="2"/>
      <c r="C941" s="2"/>
      <c r="D941" s="2"/>
      <c r="E941" s="2"/>
      <c r="F941" s="2"/>
      <c r="G941" s="2"/>
    </row>
    <row r="942" ht="15.75" customHeight="1">
      <c r="A942" s="2"/>
      <c r="B942" s="2"/>
      <c r="C942" s="2"/>
      <c r="D942" s="2"/>
      <c r="E942" s="2"/>
      <c r="F942" s="2"/>
      <c r="G942" s="2"/>
    </row>
    <row r="943" ht="15.75" customHeight="1">
      <c r="A943" s="2"/>
      <c r="B943" s="2"/>
      <c r="C943" s="2"/>
      <c r="D943" s="2"/>
      <c r="E943" s="2"/>
      <c r="F943" s="2"/>
      <c r="G943" s="2"/>
    </row>
    <row r="944" ht="15.75" customHeight="1">
      <c r="A944" s="2"/>
      <c r="B944" s="2"/>
      <c r="C944" s="2"/>
      <c r="D944" s="2"/>
      <c r="E944" s="2"/>
      <c r="F944" s="2"/>
      <c r="G944" s="2"/>
    </row>
    <row r="945" ht="15.75" customHeight="1">
      <c r="A945" s="2"/>
      <c r="B945" s="2"/>
      <c r="C945" s="2"/>
      <c r="D945" s="2"/>
      <c r="E945" s="2"/>
      <c r="F945" s="2"/>
      <c r="G945" s="2"/>
    </row>
    <row r="946" ht="15.75" customHeight="1">
      <c r="A946" s="2"/>
      <c r="B946" s="2"/>
      <c r="C946" s="2"/>
      <c r="D946" s="2"/>
      <c r="E946" s="2"/>
      <c r="F946" s="2"/>
      <c r="G946" s="2"/>
    </row>
    <row r="947" ht="15.75" customHeight="1">
      <c r="A947" s="2"/>
      <c r="B947" s="2"/>
      <c r="C947" s="2"/>
      <c r="D947" s="2"/>
      <c r="E947" s="2"/>
      <c r="F947" s="2"/>
      <c r="G947" s="2"/>
    </row>
    <row r="948" ht="15.75" customHeight="1">
      <c r="A948" s="2"/>
      <c r="B948" s="2"/>
      <c r="C948" s="2"/>
      <c r="D948" s="2"/>
      <c r="E948" s="2"/>
      <c r="F948" s="2"/>
      <c r="G948" s="2"/>
    </row>
    <row r="949" ht="15.75" customHeight="1">
      <c r="A949" s="2"/>
      <c r="B949" s="2"/>
      <c r="C949" s="2"/>
      <c r="D949" s="2"/>
      <c r="E949" s="2"/>
      <c r="F949" s="2"/>
      <c r="G949" s="2"/>
    </row>
    <row r="950" ht="15.75" customHeight="1">
      <c r="A950" s="2"/>
      <c r="B950" s="2"/>
      <c r="C950" s="2"/>
      <c r="D950" s="2"/>
      <c r="E950" s="2"/>
      <c r="F950" s="2"/>
      <c r="G950" s="2"/>
    </row>
    <row r="951" ht="15.75" customHeight="1">
      <c r="A951" s="2"/>
      <c r="B951" s="2"/>
      <c r="C951" s="2"/>
      <c r="D951" s="2"/>
      <c r="E951" s="2"/>
      <c r="F951" s="2"/>
      <c r="G951" s="2"/>
    </row>
    <row r="952" ht="15.75" customHeight="1">
      <c r="A952" s="2"/>
      <c r="B952" s="2"/>
      <c r="C952" s="2"/>
      <c r="D952" s="2"/>
      <c r="E952" s="2"/>
      <c r="F952" s="2"/>
      <c r="G952" s="2"/>
    </row>
    <row r="953" ht="15.75" customHeight="1">
      <c r="A953" s="2"/>
      <c r="B953" s="2"/>
      <c r="C953" s="2"/>
      <c r="D953" s="2"/>
      <c r="E953" s="2"/>
      <c r="F953" s="2"/>
      <c r="G953" s="2"/>
    </row>
    <row r="954" ht="15.75" customHeight="1">
      <c r="A954" s="2"/>
      <c r="B954" s="2"/>
      <c r="C954" s="2"/>
      <c r="D954" s="2"/>
      <c r="E954" s="2"/>
      <c r="F954" s="2"/>
      <c r="G954" s="2"/>
    </row>
    <row r="955" ht="15.75" customHeight="1">
      <c r="A955" s="2"/>
      <c r="B955" s="2"/>
      <c r="C955" s="2"/>
      <c r="D955" s="2"/>
      <c r="E955" s="2"/>
      <c r="F955" s="2"/>
      <c r="G955" s="2"/>
    </row>
    <row r="956" ht="15.75" customHeight="1">
      <c r="A956" s="2"/>
      <c r="B956" s="2"/>
      <c r="C956" s="2"/>
      <c r="D956" s="2"/>
      <c r="E956" s="2"/>
      <c r="F956" s="2"/>
      <c r="G956" s="2"/>
    </row>
    <row r="957" ht="15.75" customHeight="1">
      <c r="A957" s="2"/>
      <c r="B957" s="2"/>
      <c r="C957" s="2"/>
      <c r="D957" s="2"/>
      <c r="E957" s="2"/>
      <c r="F957" s="2"/>
      <c r="G957" s="2"/>
    </row>
    <row r="958" ht="15.75" customHeight="1">
      <c r="A958" s="2"/>
      <c r="B958" s="2"/>
      <c r="C958" s="2"/>
      <c r="D958" s="2"/>
      <c r="E958" s="2"/>
      <c r="F958" s="2"/>
      <c r="G958" s="2"/>
    </row>
    <row r="959" ht="15.75" customHeight="1">
      <c r="A959" s="2"/>
      <c r="B959" s="2"/>
      <c r="C959" s="2"/>
      <c r="D959" s="2"/>
      <c r="E959" s="2"/>
      <c r="F959" s="2"/>
      <c r="G959" s="2"/>
    </row>
    <row r="960" ht="15.75" customHeight="1">
      <c r="A960" s="2"/>
      <c r="B960" s="2"/>
      <c r="C960" s="2"/>
      <c r="D960" s="2"/>
      <c r="E960" s="2"/>
      <c r="F960" s="2"/>
      <c r="G960" s="2"/>
    </row>
    <row r="961" ht="15.75" customHeight="1">
      <c r="A961" s="2"/>
      <c r="B961" s="2"/>
      <c r="C961" s="2"/>
      <c r="D961" s="2"/>
      <c r="E961" s="2"/>
      <c r="F961" s="2"/>
      <c r="G961" s="2"/>
    </row>
    <row r="962" ht="15.75" customHeight="1">
      <c r="A962" s="2"/>
      <c r="B962" s="2"/>
      <c r="C962" s="2"/>
      <c r="D962" s="2"/>
      <c r="E962" s="2"/>
      <c r="F962" s="2"/>
      <c r="G962" s="2"/>
    </row>
    <row r="963" ht="15.75" customHeight="1">
      <c r="A963" s="2"/>
      <c r="B963" s="2"/>
      <c r="C963" s="2"/>
      <c r="D963" s="2"/>
      <c r="E963" s="2"/>
      <c r="F963" s="2"/>
      <c r="G963" s="2"/>
    </row>
    <row r="964" ht="15.75" customHeight="1">
      <c r="A964" s="2"/>
      <c r="B964" s="2"/>
      <c r="C964" s="2"/>
      <c r="D964" s="2"/>
      <c r="E964" s="2"/>
      <c r="F964" s="2"/>
      <c r="G964" s="2"/>
    </row>
    <row r="965" ht="15.75" customHeight="1">
      <c r="A965" s="2"/>
      <c r="B965" s="2"/>
      <c r="C965" s="2"/>
      <c r="D965" s="2"/>
      <c r="E965" s="2"/>
      <c r="F965" s="2"/>
      <c r="G965" s="2"/>
    </row>
    <row r="966" ht="15.75" customHeight="1">
      <c r="A966" s="2"/>
      <c r="B966" s="2"/>
      <c r="C966" s="2"/>
      <c r="D966" s="2"/>
      <c r="E966" s="2"/>
      <c r="F966" s="2"/>
      <c r="G966" s="2"/>
    </row>
    <row r="967" ht="15.75" customHeight="1">
      <c r="A967" s="2"/>
      <c r="B967" s="2"/>
      <c r="C967" s="2"/>
      <c r="D967" s="2"/>
      <c r="E967" s="2"/>
      <c r="F967" s="2"/>
      <c r="G967" s="2"/>
    </row>
    <row r="968" ht="15.75" customHeight="1">
      <c r="A968" s="2"/>
      <c r="B968" s="2"/>
      <c r="C968" s="2"/>
      <c r="D968" s="2"/>
      <c r="E968" s="2"/>
      <c r="F968" s="2"/>
      <c r="G968" s="2"/>
    </row>
    <row r="969" ht="15.75" customHeight="1">
      <c r="A969" s="2"/>
      <c r="B969" s="2"/>
      <c r="C969" s="2"/>
      <c r="D969" s="2"/>
      <c r="E969" s="2"/>
      <c r="F969" s="2"/>
      <c r="G969" s="2"/>
    </row>
    <row r="970" ht="15.75" customHeight="1">
      <c r="A970" s="2"/>
      <c r="B970" s="2"/>
      <c r="C970" s="2"/>
      <c r="D970" s="2"/>
      <c r="E970" s="2"/>
      <c r="F970" s="2"/>
      <c r="G970" s="2"/>
    </row>
    <row r="971" ht="15.75" customHeight="1">
      <c r="A971" s="2"/>
      <c r="B971" s="2"/>
      <c r="C971" s="2"/>
      <c r="D971" s="2"/>
      <c r="E971" s="2"/>
      <c r="F971" s="2"/>
      <c r="G971" s="2"/>
    </row>
    <row r="972" ht="15.75" customHeight="1">
      <c r="A972" s="2"/>
      <c r="B972" s="2"/>
      <c r="C972" s="2"/>
      <c r="D972" s="2"/>
      <c r="E972" s="2"/>
      <c r="F972" s="2"/>
      <c r="G972" s="2"/>
    </row>
    <row r="973" ht="15.75" customHeight="1">
      <c r="A973" s="2"/>
      <c r="B973" s="2"/>
      <c r="C973" s="2"/>
      <c r="D973" s="2"/>
      <c r="E973" s="2"/>
      <c r="F973" s="2"/>
      <c r="G973" s="2"/>
    </row>
    <row r="974" ht="15.75" customHeight="1">
      <c r="A974" s="2"/>
      <c r="B974" s="2"/>
      <c r="C974" s="2"/>
      <c r="D974" s="2"/>
      <c r="E974" s="2"/>
      <c r="F974" s="2"/>
      <c r="G974" s="2"/>
    </row>
    <row r="975" ht="15.75" customHeight="1">
      <c r="A975" s="2"/>
      <c r="B975" s="2"/>
      <c r="C975" s="2"/>
      <c r="D975" s="2"/>
      <c r="E975" s="2"/>
      <c r="F975" s="2"/>
      <c r="G975" s="2"/>
    </row>
    <row r="976" ht="15.75" customHeight="1">
      <c r="A976" s="2"/>
      <c r="B976" s="2"/>
      <c r="C976" s="2"/>
      <c r="D976" s="2"/>
      <c r="E976" s="2"/>
      <c r="F976" s="2"/>
      <c r="G976" s="2"/>
    </row>
    <row r="977" ht="15.75" customHeight="1">
      <c r="A977" s="2"/>
      <c r="B977" s="2"/>
      <c r="C977" s="2"/>
      <c r="D977" s="2"/>
      <c r="E977" s="2"/>
      <c r="F977" s="2"/>
      <c r="G977" s="2"/>
    </row>
    <row r="978" ht="15.75" customHeight="1">
      <c r="A978" s="2"/>
      <c r="B978" s="2"/>
      <c r="C978" s="2"/>
      <c r="D978" s="2"/>
      <c r="E978" s="2"/>
      <c r="F978" s="2"/>
      <c r="G978" s="2"/>
    </row>
    <row r="979" ht="15.75" customHeight="1">
      <c r="A979" s="2"/>
      <c r="B979" s="2"/>
      <c r="C979" s="2"/>
      <c r="D979" s="2"/>
      <c r="E979" s="2"/>
      <c r="F979" s="2"/>
      <c r="G979" s="2"/>
    </row>
    <row r="980" ht="15.75" customHeight="1">
      <c r="A980" s="2"/>
      <c r="B980" s="2"/>
      <c r="C980" s="2"/>
      <c r="D980" s="2"/>
      <c r="E980" s="2"/>
      <c r="F980" s="2"/>
      <c r="G980" s="2"/>
    </row>
    <row r="981" ht="15.75" customHeight="1">
      <c r="A981" s="2"/>
      <c r="B981" s="2"/>
      <c r="C981" s="2"/>
      <c r="D981" s="2"/>
      <c r="E981" s="2"/>
      <c r="F981" s="2"/>
      <c r="G981" s="2"/>
    </row>
    <row r="982" ht="15.75" customHeight="1">
      <c r="A982" s="2"/>
      <c r="B982" s="2"/>
      <c r="C982" s="2"/>
      <c r="D982" s="2"/>
      <c r="E982" s="2"/>
      <c r="F982" s="2"/>
      <c r="G982" s="2"/>
    </row>
    <row r="983" ht="15.75" customHeight="1">
      <c r="A983" s="2"/>
      <c r="B983" s="2"/>
      <c r="C983" s="2"/>
      <c r="D983" s="2"/>
      <c r="E983" s="2"/>
      <c r="F983" s="2"/>
      <c r="G983" s="2"/>
    </row>
    <row r="984" ht="15.75" customHeight="1">
      <c r="A984" s="2"/>
      <c r="B984" s="2"/>
      <c r="C984" s="2"/>
      <c r="D984" s="2"/>
      <c r="E984" s="2"/>
      <c r="F984" s="2"/>
      <c r="G984" s="2"/>
    </row>
    <row r="985" ht="15.75" customHeight="1">
      <c r="A985" s="2"/>
      <c r="B985" s="2"/>
      <c r="C985" s="2"/>
      <c r="D985" s="2"/>
      <c r="E985" s="2"/>
      <c r="F985" s="2"/>
      <c r="G985" s="2"/>
    </row>
    <row r="986" ht="15.75" customHeight="1">
      <c r="A986" s="2"/>
      <c r="B986" s="2"/>
      <c r="C986" s="2"/>
      <c r="D986" s="2"/>
      <c r="E986" s="2"/>
      <c r="F986" s="2"/>
      <c r="G986" s="2"/>
    </row>
    <row r="987" ht="15.75" customHeight="1">
      <c r="A987" s="2"/>
      <c r="B987" s="2"/>
      <c r="C987" s="2"/>
      <c r="D987" s="2"/>
      <c r="E987" s="2"/>
      <c r="F987" s="2"/>
      <c r="G987" s="2"/>
    </row>
    <row r="988" ht="15.75" customHeight="1">
      <c r="A988" s="2"/>
      <c r="B988" s="2"/>
      <c r="C988" s="2"/>
      <c r="D988" s="2"/>
      <c r="E988" s="2"/>
      <c r="F988" s="2"/>
      <c r="G988" s="2"/>
    </row>
    <row r="989" ht="15.75" customHeight="1">
      <c r="A989" s="2"/>
      <c r="B989" s="2"/>
      <c r="C989" s="2"/>
      <c r="D989" s="2"/>
      <c r="E989" s="2"/>
      <c r="F989" s="2"/>
      <c r="G989" s="2"/>
    </row>
    <row r="990" ht="15.75" customHeight="1">
      <c r="A990" s="2"/>
      <c r="B990" s="2"/>
      <c r="C990" s="2"/>
      <c r="D990" s="2"/>
      <c r="E990" s="2"/>
      <c r="F990" s="2"/>
      <c r="G990" s="2"/>
    </row>
    <row r="991" ht="15.75" customHeight="1">
      <c r="A991" s="2"/>
      <c r="B991" s="2"/>
      <c r="C991" s="2"/>
      <c r="D991" s="2"/>
      <c r="E991" s="2"/>
      <c r="F991" s="2"/>
      <c r="G991" s="2"/>
    </row>
    <row r="992" ht="15.75" customHeight="1">
      <c r="A992" s="2"/>
      <c r="B992" s="2"/>
      <c r="C992" s="2"/>
      <c r="D992" s="2"/>
      <c r="E992" s="2"/>
      <c r="F992" s="2"/>
      <c r="G992" s="2"/>
    </row>
    <row r="993" ht="15.75" customHeight="1">
      <c r="A993" s="2"/>
      <c r="B993" s="2"/>
      <c r="C993" s="2"/>
      <c r="D993" s="2"/>
      <c r="E993" s="2"/>
      <c r="F993" s="2"/>
      <c r="G993" s="2"/>
    </row>
    <row r="994" ht="15.75" customHeight="1">
      <c r="A994" s="2"/>
      <c r="B994" s="2"/>
      <c r="C994" s="2"/>
      <c r="D994" s="2"/>
      <c r="E994" s="2"/>
      <c r="F994" s="2"/>
      <c r="G994" s="2"/>
    </row>
    <row r="995" ht="15.75" customHeight="1">
      <c r="A995" s="2"/>
      <c r="B995" s="2"/>
      <c r="C995" s="2"/>
      <c r="D995" s="2"/>
      <c r="E995" s="2"/>
      <c r="F995" s="2"/>
      <c r="G995" s="2"/>
    </row>
    <row r="996" ht="15.75" customHeight="1">
      <c r="A996" s="2"/>
      <c r="B996" s="2"/>
      <c r="C996" s="2"/>
      <c r="D996" s="2"/>
      <c r="E996" s="2"/>
      <c r="F996" s="2"/>
      <c r="G996" s="2"/>
    </row>
    <row r="997" ht="15.75" customHeight="1">
      <c r="A997" s="2"/>
      <c r="B997" s="2"/>
      <c r="C997" s="2"/>
      <c r="D997" s="2"/>
      <c r="E997" s="2"/>
      <c r="F997" s="2"/>
      <c r="G997" s="2"/>
    </row>
    <row r="998" ht="15.75" customHeight="1">
      <c r="A998" s="2"/>
      <c r="B998" s="2"/>
      <c r="C998" s="2"/>
      <c r="D998" s="2"/>
      <c r="E998" s="2"/>
      <c r="F998" s="2"/>
      <c r="G998" s="2"/>
    </row>
    <row r="999" ht="15.75" customHeight="1">
      <c r="A999" s="2"/>
      <c r="B999" s="2"/>
      <c r="C999" s="2"/>
      <c r="D999" s="2"/>
      <c r="E999" s="2"/>
      <c r="F999" s="2"/>
      <c r="G999" s="2"/>
    </row>
    <row r="1000" ht="15.75" customHeight="1">
      <c r="A1000" s="2"/>
      <c r="B1000" s="2"/>
      <c r="C1000" s="2"/>
      <c r="D1000" s="2"/>
      <c r="E1000" s="2"/>
      <c r="F1000" s="2"/>
      <c r="G1000" s="2"/>
    </row>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60.0"/>
    <col customWidth="1" min="2" max="2" width="24.0"/>
    <col customWidth="1" min="3" max="3" width="26.0"/>
    <col customWidth="1" min="4" max="26" width="8.71"/>
  </cols>
  <sheetData>
    <row r="1" ht="17.25" customHeight="1">
      <c r="A1" s="1" t="s">
        <v>395</v>
      </c>
      <c r="B1" s="2"/>
      <c r="C1" s="2"/>
    </row>
    <row r="2" ht="31.5" customHeight="1">
      <c r="A2" s="3" t="s">
        <v>396</v>
      </c>
    </row>
    <row r="3">
      <c r="A3" s="2"/>
      <c r="B3" s="2"/>
      <c r="C3" s="2"/>
    </row>
    <row r="4" ht="15.0" customHeight="1">
      <c r="A4" s="11" t="s">
        <v>397</v>
      </c>
      <c r="B4" s="11" t="s">
        <v>398</v>
      </c>
      <c r="C4" s="11" t="s">
        <v>399</v>
      </c>
    </row>
    <row r="5" ht="15.0" customHeight="1">
      <c r="A5" s="27" t="s">
        <v>400</v>
      </c>
      <c r="B5" s="38">
        <f>'1_Chi phí mỗi việc'!B25</f>
        <v>4.928095299</v>
      </c>
      <c r="C5" s="37" t="str">
        <f>IF(B5&gt;=0.3,"Đạt","Xem lại")</f>
        <v>Đạt</v>
      </c>
    </row>
    <row r="6" ht="15.0" customHeight="1">
      <c r="A6" s="27" t="s">
        <v>401</v>
      </c>
      <c r="B6" s="38">
        <f>'4_Chỉ số mỗi khách'!C7</f>
        <v>0.8946260943</v>
      </c>
      <c r="C6" s="37" t="str">
        <f>IF(B6&gt;=0.6,"Đạt","Xem lại")</f>
        <v>Đạt</v>
      </c>
    </row>
    <row r="7" ht="15.0" customHeight="1">
      <c r="A7" s="27" t="s">
        <v>402</v>
      </c>
      <c r="B7" s="85">
        <f>'4_Chỉ số mỗi khách'!C11</f>
        <v>1.188574668</v>
      </c>
      <c r="C7" s="37" t="str">
        <f>IF(B7&gt;3,"Đạt","Xem lại")</f>
        <v>Xem lại</v>
      </c>
    </row>
    <row r="8" ht="15.0" customHeight="1">
      <c r="A8" s="27" t="s">
        <v>404</v>
      </c>
      <c r="B8" s="76">
        <f>'4_Chỉ số mỗi khách'!C12</f>
        <v>5.608959071</v>
      </c>
      <c r="C8" s="37" t="str">
        <f>IF(AND(B8&gt;0,B8&lt;12),"Đạt","Xem lại")</f>
        <v>Đạt</v>
      </c>
    </row>
    <row r="9" ht="15.0" customHeight="1">
      <c r="A9" s="27" t="s">
        <v>405</v>
      </c>
      <c r="B9" s="37" t="str">
        <f>IF(AND('3_Giả định'!C9&gt;0,'3_Giả định'!C10&gt;0,'3_Giả định'!D9&gt;=1.5*'3_Giả định'!C9,'3_Giả định'!D10&gt;=1.5*'3_Giả định'!C10),"Có","Không")</f>
        <v>Có</v>
      </c>
      <c r="C9" s="37" t="str">
        <f>IF(B9="Có","Đạt","Xem lại")</f>
        <v>Đạt</v>
      </c>
    </row>
    <row r="10" ht="15.0" customHeight="1">
      <c r="A10" s="27" t="s">
        <v>406</v>
      </c>
      <c r="B10" s="86">
        <f>'5_Dòng tiền &amp; hiệu quả'!D47</f>
        <v>5</v>
      </c>
      <c r="C10" s="37" t="str">
        <f>IF(B10="Chưa điền","Chưa điền",IF(ISNUMBER(B10),IF(B10&gt;=12,"Đạt","Cần kế hoạch cắt giảm"),"Đạt"))</f>
        <v>Cần kế hoạch cắt giảm</v>
      </c>
    </row>
    <row r="11" ht="15.0" customHeight="1">
      <c r="A11" s="27" t="s">
        <v>407</v>
      </c>
      <c r="B11" s="33">
        <f>'5_Dòng tiền &amp; hiệu quả'!C44</f>
        <v>-5591201777</v>
      </c>
      <c r="C11" s="37" t="str">
        <f>IF(B11&gt;0,"Đạt","Xem lại")</f>
        <v>Xem lại</v>
      </c>
    </row>
    <row r="12" ht="15.0" customHeight="1">
      <c r="A12" s="27" t="s">
        <v>408</v>
      </c>
      <c r="B12" s="37" t="str">
        <f>'5_Dòng tiền &amp; hiệu quả'!B66</f>
        <v>Chi phí có một khách tăng</v>
      </c>
      <c r="C12" s="37" t="str">
        <f>IF(B12="Chưa đủ số liệu","Xem lại","Ghi vào câu 3")</f>
        <v>Ghi vào câu 3</v>
      </c>
    </row>
    <row r="13" ht="16.5" customHeight="1">
      <c r="A13" s="87" t="s">
        <v>409</v>
      </c>
    </row>
    <row r="14" ht="48.75" customHeight="1">
      <c r="A14" s="25" t="s">
        <v>410</v>
      </c>
    </row>
    <row r="15" ht="48.0" customHeight="1">
      <c r="A15" s="88"/>
      <c r="B15" s="89"/>
      <c r="C15" s="90"/>
    </row>
    <row r="16">
      <c r="A16" s="2"/>
      <c r="B16" s="2"/>
      <c r="C16" s="2"/>
    </row>
    <row r="17" ht="18.75" customHeight="1">
      <c r="A17" s="25" t="s">
        <v>412</v>
      </c>
    </row>
    <row r="18" ht="48.0" customHeight="1">
      <c r="A18" s="88"/>
      <c r="B18" s="89"/>
      <c r="C18" s="90"/>
    </row>
    <row r="19">
      <c r="A19" s="2"/>
      <c r="B19" s="2"/>
      <c r="C19" s="2"/>
    </row>
    <row r="20" ht="18.75" customHeight="1">
      <c r="A20" s="25" t="s">
        <v>413</v>
      </c>
    </row>
    <row r="21" ht="48.0" customHeight="1">
      <c r="A21" s="88"/>
      <c r="B21" s="89"/>
      <c r="C21" s="90"/>
    </row>
    <row r="22" ht="15.75" customHeight="1">
      <c r="A22" s="2"/>
      <c r="B22" s="2"/>
      <c r="C22" s="2"/>
    </row>
    <row r="23" ht="63.75" customHeight="1">
      <c r="A23" s="25" t="s">
        <v>414</v>
      </c>
    </row>
    <row r="24" ht="48.0" customHeight="1">
      <c r="A24" s="88"/>
      <c r="B24" s="89"/>
      <c r="C24" s="90"/>
    </row>
    <row r="25" ht="15.75" customHeight="1">
      <c r="A25" s="2"/>
      <c r="B25" s="2"/>
      <c r="C25" s="2"/>
    </row>
    <row r="26" ht="33.75" customHeight="1">
      <c r="A26" s="25" t="s">
        <v>415</v>
      </c>
    </row>
    <row r="27" ht="48.0" customHeight="1">
      <c r="A27" s="54"/>
      <c r="B27" s="55"/>
      <c r="C27" s="56"/>
    </row>
    <row r="28" ht="15.75" customHeight="1">
      <c r="A28" s="2"/>
      <c r="B28" s="2"/>
      <c r="C28" s="2"/>
    </row>
    <row r="29" ht="15.75" customHeight="1">
      <c r="A29" s="2"/>
      <c r="B29" s="2"/>
      <c r="C29" s="2"/>
    </row>
    <row r="30" ht="15.75" customHeight="1">
      <c r="A30" s="2"/>
      <c r="B30" s="2"/>
      <c r="C30" s="2"/>
    </row>
    <row r="31" ht="15.75" customHeight="1">
      <c r="A31" s="2"/>
      <c r="B31" s="2"/>
      <c r="C31" s="2"/>
    </row>
    <row r="32" ht="15.75" customHeight="1">
      <c r="A32" s="2"/>
      <c r="B32" s="2"/>
      <c r="C32" s="2"/>
    </row>
    <row r="33" ht="15.75" customHeight="1">
      <c r="A33" s="2"/>
      <c r="B33" s="2"/>
      <c r="C33" s="2"/>
    </row>
    <row r="34" ht="15.75" customHeight="1">
      <c r="A34" s="2"/>
      <c r="B34" s="2"/>
      <c r="C34" s="2"/>
    </row>
    <row r="35" ht="15.75" customHeight="1">
      <c r="A35" s="2"/>
      <c r="B35" s="2"/>
      <c r="C35" s="2"/>
    </row>
    <row r="36" ht="15.75" customHeight="1">
      <c r="A36" s="2"/>
      <c r="B36" s="2"/>
      <c r="C36" s="2"/>
    </row>
    <row r="37" ht="15.75" customHeight="1">
      <c r="A37" s="2"/>
      <c r="B37" s="2"/>
      <c r="C37" s="2"/>
    </row>
    <row r="38" ht="15.75" customHeight="1">
      <c r="A38" s="2"/>
      <c r="B38" s="2"/>
      <c r="C38" s="2"/>
    </row>
    <row r="39" ht="15.75" customHeight="1">
      <c r="A39" s="2"/>
      <c r="B39" s="2"/>
      <c r="C39" s="2"/>
    </row>
    <row r="40" ht="15.75" customHeight="1">
      <c r="A40" s="2"/>
      <c r="B40" s="2"/>
      <c r="C40" s="2"/>
    </row>
    <row r="41" ht="15.75" customHeight="1">
      <c r="A41" s="2"/>
      <c r="B41" s="2"/>
      <c r="C41" s="2"/>
    </row>
    <row r="42" ht="15.75" customHeight="1">
      <c r="A42" s="2"/>
      <c r="B42" s="2"/>
      <c r="C42" s="2"/>
    </row>
    <row r="43" ht="15.75" customHeight="1">
      <c r="A43" s="2"/>
      <c r="B43" s="2"/>
      <c r="C43" s="2"/>
    </row>
    <row r="44" ht="15.75" customHeight="1">
      <c r="A44" s="2"/>
      <c r="B44" s="2"/>
      <c r="C44" s="2"/>
    </row>
    <row r="45" ht="15.75" customHeight="1">
      <c r="A45" s="2"/>
      <c r="B45" s="2"/>
      <c r="C45" s="2"/>
    </row>
    <row r="46" ht="15.75" customHeight="1">
      <c r="A46" s="2"/>
      <c r="B46" s="2"/>
      <c r="C46" s="2"/>
    </row>
    <row r="47" ht="15.75" customHeight="1">
      <c r="A47" s="2"/>
      <c r="B47" s="2"/>
      <c r="C47" s="2"/>
    </row>
    <row r="48" ht="15.75" customHeight="1">
      <c r="A48" s="2"/>
      <c r="B48" s="2"/>
      <c r="C48" s="2"/>
    </row>
    <row r="49" ht="15.75" customHeight="1">
      <c r="A49" s="2"/>
      <c r="B49" s="2"/>
      <c r="C49" s="2"/>
    </row>
    <row r="50" ht="15.75" customHeight="1">
      <c r="A50" s="2"/>
      <c r="B50" s="2"/>
      <c r="C50" s="2"/>
    </row>
    <row r="51" ht="15.75" customHeight="1">
      <c r="A51" s="2"/>
      <c r="B51" s="2"/>
      <c r="C51" s="2"/>
    </row>
    <row r="52" ht="15.75" customHeight="1">
      <c r="A52" s="2"/>
      <c r="B52" s="2"/>
      <c r="C52" s="2"/>
    </row>
    <row r="53" ht="15.75" customHeight="1">
      <c r="A53" s="2"/>
      <c r="B53" s="2"/>
      <c r="C53" s="2"/>
    </row>
    <row r="54" ht="15.75" customHeight="1">
      <c r="A54" s="2"/>
      <c r="B54" s="2"/>
      <c r="C54" s="2"/>
    </row>
    <row r="55" ht="15.75" customHeight="1">
      <c r="A55" s="2"/>
      <c r="B55" s="2"/>
      <c r="C55" s="2"/>
    </row>
    <row r="56" ht="15.75" customHeight="1">
      <c r="A56" s="2"/>
      <c r="B56" s="2"/>
      <c r="C56" s="2"/>
    </row>
    <row r="57" ht="15.75" customHeight="1">
      <c r="A57" s="2"/>
      <c r="B57" s="2"/>
      <c r="C57" s="2"/>
    </row>
    <row r="58" ht="15.75" customHeight="1">
      <c r="A58" s="2"/>
      <c r="B58" s="2"/>
      <c r="C58" s="2"/>
    </row>
    <row r="59" ht="15.75" customHeight="1">
      <c r="A59" s="2"/>
      <c r="B59" s="2"/>
      <c r="C59" s="2"/>
    </row>
    <row r="60" ht="15.75" customHeight="1">
      <c r="A60" s="2"/>
      <c r="B60" s="2"/>
      <c r="C60" s="2"/>
    </row>
    <row r="61" ht="15.75" customHeight="1">
      <c r="A61" s="2"/>
      <c r="B61" s="2"/>
      <c r="C61" s="2"/>
    </row>
    <row r="62" ht="15.75" customHeight="1">
      <c r="A62" s="2"/>
      <c r="B62" s="2"/>
      <c r="C62" s="2"/>
    </row>
    <row r="63" ht="15.75" customHeight="1">
      <c r="A63" s="2"/>
      <c r="B63" s="2"/>
      <c r="C63" s="2"/>
    </row>
    <row r="64" ht="15.75" customHeight="1">
      <c r="A64" s="2"/>
      <c r="B64" s="2"/>
      <c r="C64" s="2"/>
    </row>
    <row r="65" ht="15.75" customHeight="1">
      <c r="A65" s="2"/>
      <c r="B65" s="2"/>
      <c r="C65" s="2"/>
    </row>
    <row r="66" ht="15.75" customHeight="1">
      <c r="A66" s="2"/>
      <c r="B66" s="2"/>
      <c r="C66" s="2"/>
    </row>
    <row r="67" ht="15.75" customHeight="1">
      <c r="A67" s="2"/>
      <c r="B67" s="2"/>
      <c r="C67" s="2"/>
    </row>
    <row r="68" ht="15.75" customHeight="1">
      <c r="A68" s="2"/>
      <c r="B68" s="2"/>
      <c r="C68" s="2"/>
    </row>
    <row r="69" ht="15.75" customHeight="1">
      <c r="A69" s="2"/>
      <c r="B69" s="2"/>
      <c r="C69" s="2"/>
    </row>
    <row r="70" ht="15.75" customHeight="1">
      <c r="A70" s="2"/>
      <c r="B70" s="2"/>
      <c r="C70" s="2"/>
    </row>
    <row r="71" ht="15.75" customHeight="1">
      <c r="A71" s="2"/>
      <c r="B71" s="2"/>
      <c r="C71" s="2"/>
    </row>
    <row r="72" ht="15.75" customHeight="1">
      <c r="A72" s="2"/>
      <c r="B72" s="2"/>
      <c r="C72" s="2"/>
    </row>
    <row r="73" ht="15.75" customHeight="1">
      <c r="A73" s="2"/>
      <c r="B73" s="2"/>
      <c r="C73" s="2"/>
    </row>
    <row r="74" ht="15.75" customHeight="1">
      <c r="A74" s="2"/>
      <c r="B74" s="2"/>
      <c r="C74" s="2"/>
    </row>
    <row r="75" ht="15.75" customHeight="1">
      <c r="A75" s="2"/>
      <c r="B75" s="2"/>
      <c r="C75" s="2"/>
    </row>
    <row r="76" ht="15.75" customHeight="1">
      <c r="A76" s="2"/>
      <c r="B76" s="2"/>
      <c r="C76" s="2"/>
    </row>
    <row r="77" ht="15.75" customHeight="1">
      <c r="A77" s="2"/>
      <c r="B77" s="2"/>
      <c r="C77" s="2"/>
    </row>
    <row r="78" ht="15.75" customHeight="1">
      <c r="A78" s="2"/>
      <c r="B78" s="2"/>
      <c r="C78" s="2"/>
    </row>
    <row r="79" ht="15.75" customHeight="1">
      <c r="A79" s="2"/>
      <c r="B79" s="2"/>
      <c r="C79" s="2"/>
    </row>
    <row r="80" ht="15.75" customHeight="1">
      <c r="A80" s="2"/>
      <c r="B80" s="2"/>
      <c r="C80" s="2"/>
    </row>
    <row r="81" ht="15.75" customHeight="1">
      <c r="A81" s="2"/>
      <c r="B81" s="2"/>
      <c r="C81" s="2"/>
    </row>
    <row r="82" ht="15.75" customHeight="1">
      <c r="A82" s="2"/>
      <c r="B82" s="2"/>
      <c r="C82" s="2"/>
    </row>
    <row r="83" ht="15.75" customHeight="1">
      <c r="A83" s="2"/>
      <c r="B83" s="2"/>
      <c r="C83" s="2"/>
    </row>
    <row r="84" ht="15.75" customHeight="1">
      <c r="A84" s="2"/>
      <c r="B84" s="2"/>
      <c r="C84" s="2"/>
    </row>
    <row r="85" ht="15.75" customHeight="1">
      <c r="A85" s="2"/>
      <c r="B85" s="2"/>
      <c r="C85" s="2"/>
    </row>
    <row r="86" ht="15.75" customHeight="1">
      <c r="A86" s="2"/>
      <c r="B86" s="2"/>
      <c r="C86" s="2"/>
    </row>
    <row r="87" ht="15.75" customHeight="1">
      <c r="A87" s="2"/>
      <c r="B87" s="2"/>
      <c r="C87" s="2"/>
    </row>
    <row r="88" ht="15.75" customHeight="1">
      <c r="A88" s="2"/>
      <c r="B88" s="2"/>
      <c r="C88" s="2"/>
    </row>
    <row r="89" ht="15.75" customHeight="1">
      <c r="A89" s="2"/>
      <c r="B89" s="2"/>
      <c r="C89" s="2"/>
    </row>
    <row r="90" ht="15.75" customHeight="1">
      <c r="A90" s="2"/>
      <c r="B90" s="2"/>
      <c r="C90" s="2"/>
    </row>
    <row r="91" ht="15.75" customHeight="1">
      <c r="A91" s="2"/>
      <c r="B91" s="2"/>
      <c r="C91" s="2"/>
    </row>
    <row r="92" ht="15.75" customHeight="1">
      <c r="A92" s="2"/>
      <c r="B92" s="2"/>
      <c r="C92" s="2"/>
    </row>
    <row r="93" ht="15.75" customHeight="1">
      <c r="A93" s="2"/>
      <c r="B93" s="2"/>
      <c r="C93" s="2"/>
    </row>
    <row r="94" ht="15.75" customHeight="1">
      <c r="A94" s="2"/>
      <c r="B94" s="2"/>
      <c r="C94" s="2"/>
    </row>
    <row r="95" ht="15.75" customHeight="1">
      <c r="A95" s="2"/>
      <c r="B95" s="2"/>
      <c r="C95" s="2"/>
    </row>
    <row r="96" ht="15.75" customHeight="1">
      <c r="A96" s="2"/>
      <c r="B96" s="2"/>
      <c r="C96" s="2"/>
    </row>
    <row r="97" ht="15.75" customHeight="1">
      <c r="A97" s="2"/>
      <c r="B97" s="2"/>
      <c r="C97" s="2"/>
    </row>
    <row r="98" ht="15.75" customHeight="1">
      <c r="A98" s="2"/>
      <c r="B98" s="2"/>
      <c r="C98" s="2"/>
    </row>
    <row r="99" ht="15.75" customHeight="1">
      <c r="A99" s="2"/>
      <c r="B99" s="2"/>
      <c r="C99" s="2"/>
    </row>
    <row r="100" ht="15.75" customHeight="1">
      <c r="A100" s="2"/>
      <c r="B100" s="2"/>
      <c r="C100" s="2"/>
    </row>
    <row r="101" ht="15.75" customHeight="1">
      <c r="A101" s="2"/>
      <c r="B101" s="2"/>
      <c r="C101" s="2"/>
    </row>
    <row r="102" ht="15.75" customHeight="1">
      <c r="A102" s="2"/>
      <c r="B102" s="2"/>
      <c r="C102" s="2"/>
    </row>
    <row r="103" ht="15.75" customHeight="1">
      <c r="A103" s="2"/>
      <c r="B103" s="2"/>
      <c r="C103" s="2"/>
    </row>
    <row r="104" ht="15.75" customHeight="1">
      <c r="A104" s="2"/>
      <c r="B104" s="2"/>
      <c r="C104" s="2"/>
    </row>
    <row r="105" ht="15.75" customHeight="1">
      <c r="A105" s="2"/>
      <c r="B105" s="2"/>
      <c r="C105" s="2"/>
    </row>
    <row r="106" ht="15.75" customHeight="1">
      <c r="A106" s="2"/>
      <c r="B106" s="2"/>
      <c r="C106" s="2"/>
    </row>
    <row r="107" ht="15.75" customHeight="1">
      <c r="A107" s="2"/>
      <c r="B107" s="2"/>
      <c r="C107" s="2"/>
    </row>
    <row r="108" ht="15.75" customHeight="1">
      <c r="A108" s="2"/>
      <c r="B108" s="2"/>
      <c r="C108" s="2"/>
    </row>
    <row r="109" ht="15.75" customHeight="1">
      <c r="A109" s="2"/>
      <c r="B109" s="2"/>
      <c r="C109" s="2"/>
    </row>
    <row r="110" ht="15.75" customHeight="1">
      <c r="A110" s="2"/>
      <c r="B110" s="2"/>
      <c r="C110" s="2"/>
    </row>
    <row r="111" ht="15.75" customHeight="1">
      <c r="A111" s="2"/>
      <c r="B111" s="2"/>
      <c r="C111" s="2"/>
    </row>
    <row r="112" ht="15.75" customHeight="1">
      <c r="A112" s="2"/>
      <c r="B112" s="2"/>
      <c r="C112" s="2"/>
    </row>
    <row r="113" ht="15.75" customHeight="1">
      <c r="A113" s="2"/>
      <c r="B113" s="2"/>
      <c r="C113" s="2"/>
    </row>
    <row r="114" ht="15.75" customHeight="1">
      <c r="A114" s="2"/>
      <c r="B114" s="2"/>
      <c r="C114" s="2"/>
    </row>
    <row r="115" ht="15.75" customHeight="1">
      <c r="A115" s="2"/>
      <c r="B115" s="2"/>
      <c r="C115" s="2"/>
    </row>
    <row r="116" ht="15.75" customHeight="1">
      <c r="A116" s="2"/>
      <c r="B116" s="2"/>
      <c r="C116" s="2"/>
    </row>
    <row r="117" ht="15.75" customHeight="1">
      <c r="A117" s="2"/>
      <c r="B117" s="2"/>
      <c r="C117" s="2"/>
    </row>
    <row r="118" ht="15.75" customHeight="1">
      <c r="A118" s="2"/>
      <c r="B118" s="2"/>
      <c r="C118" s="2"/>
    </row>
    <row r="119" ht="15.75" customHeight="1">
      <c r="A119" s="2"/>
      <c r="B119" s="2"/>
      <c r="C119" s="2"/>
    </row>
    <row r="120" ht="15.75" customHeight="1">
      <c r="A120" s="2"/>
      <c r="B120" s="2"/>
      <c r="C120" s="2"/>
    </row>
    <row r="121" ht="15.75" customHeight="1">
      <c r="A121" s="2"/>
      <c r="B121" s="2"/>
      <c r="C121" s="2"/>
    </row>
    <row r="122" ht="15.75" customHeight="1">
      <c r="A122" s="2"/>
      <c r="B122" s="2"/>
      <c r="C122" s="2"/>
    </row>
    <row r="123" ht="15.75" customHeight="1">
      <c r="A123" s="2"/>
      <c r="B123" s="2"/>
      <c r="C123" s="2"/>
    </row>
    <row r="124" ht="15.75" customHeight="1">
      <c r="A124" s="2"/>
      <c r="B124" s="2"/>
      <c r="C124" s="2"/>
    </row>
    <row r="125" ht="15.75" customHeight="1">
      <c r="A125" s="2"/>
      <c r="B125" s="2"/>
      <c r="C125" s="2"/>
    </row>
    <row r="126" ht="15.75" customHeight="1">
      <c r="A126" s="2"/>
      <c r="B126" s="2"/>
      <c r="C126" s="2"/>
    </row>
    <row r="127" ht="15.75" customHeight="1">
      <c r="A127" s="2"/>
      <c r="B127" s="2"/>
      <c r="C127" s="2"/>
    </row>
    <row r="128" ht="15.75" customHeight="1">
      <c r="A128" s="2"/>
      <c r="B128" s="2"/>
      <c r="C128" s="2"/>
    </row>
    <row r="129" ht="15.75" customHeight="1">
      <c r="A129" s="2"/>
      <c r="B129" s="2"/>
      <c r="C129" s="2"/>
    </row>
    <row r="130" ht="15.75" customHeight="1">
      <c r="A130" s="2"/>
      <c r="B130" s="2"/>
      <c r="C130" s="2"/>
    </row>
    <row r="131" ht="15.75" customHeight="1">
      <c r="A131" s="2"/>
      <c r="B131" s="2"/>
      <c r="C131" s="2"/>
    </row>
    <row r="132" ht="15.75" customHeight="1">
      <c r="A132" s="2"/>
      <c r="B132" s="2"/>
      <c r="C132" s="2"/>
    </row>
    <row r="133" ht="15.75" customHeight="1">
      <c r="A133" s="2"/>
      <c r="B133" s="2"/>
      <c r="C133" s="2"/>
    </row>
    <row r="134" ht="15.75" customHeight="1">
      <c r="A134" s="2"/>
      <c r="B134" s="2"/>
      <c r="C134" s="2"/>
    </row>
    <row r="135" ht="15.75" customHeight="1">
      <c r="A135" s="2"/>
      <c r="B135" s="2"/>
      <c r="C135" s="2"/>
    </row>
    <row r="136" ht="15.75" customHeight="1">
      <c r="A136" s="2"/>
      <c r="B136" s="2"/>
      <c r="C136" s="2"/>
    </row>
    <row r="137" ht="15.75" customHeight="1">
      <c r="A137" s="2"/>
      <c r="B137" s="2"/>
      <c r="C137" s="2"/>
    </row>
    <row r="138" ht="15.75" customHeight="1">
      <c r="A138" s="2"/>
      <c r="B138" s="2"/>
      <c r="C138" s="2"/>
    </row>
    <row r="139" ht="15.75" customHeight="1">
      <c r="A139" s="2"/>
      <c r="B139" s="2"/>
      <c r="C139" s="2"/>
    </row>
    <row r="140" ht="15.75" customHeight="1">
      <c r="A140" s="2"/>
      <c r="B140" s="2"/>
      <c r="C140" s="2"/>
    </row>
    <row r="141" ht="15.75" customHeight="1">
      <c r="A141" s="2"/>
      <c r="B141" s="2"/>
      <c r="C141" s="2"/>
    </row>
    <row r="142" ht="15.75" customHeight="1">
      <c r="A142" s="2"/>
      <c r="B142" s="2"/>
      <c r="C142" s="2"/>
    </row>
    <row r="143" ht="15.75" customHeight="1">
      <c r="A143" s="2"/>
      <c r="B143" s="2"/>
      <c r="C143" s="2"/>
    </row>
    <row r="144" ht="15.75" customHeight="1">
      <c r="A144" s="2"/>
      <c r="B144" s="2"/>
      <c r="C144" s="2"/>
    </row>
    <row r="145" ht="15.75" customHeight="1">
      <c r="A145" s="2"/>
      <c r="B145" s="2"/>
      <c r="C145" s="2"/>
    </row>
    <row r="146" ht="15.75" customHeight="1">
      <c r="A146" s="2"/>
      <c r="B146" s="2"/>
      <c r="C146" s="2"/>
    </row>
    <row r="147" ht="15.75" customHeight="1">
      <c r="A147" s="2"/>
      <c r="B147" s="2"/>
      <c r="C147" s="2"/>
    </row>
    <row r="148" ht="15.75" customHeight="1">
      <c r="A148" s="2"/>
      <c r="B148" s="2"/>
      <c r="C148" s="2"/>
    </row>
    <row r="149" ht="15.75" customHeight="1">
      <c r="A149" s="2"/>
      <c r="B149" s="2"/>
      <c r="C149" s="2"/>
    </row>
    <row r="150" ht="15.75" customHeight="1">
      <c r="A150" s="2"/>
      <c r="B150" s="2"/>
      <c r="C150" s="2"/>
    </row>
    <row r="151" ht="15.75" customHeight="1">
      <c r="A151" s="2"/>
      <c r="B151" s="2"/>
      <c r="C151" s="2"/>
    </row>
    <row r="152" ht="15.75" customHeight="1">
      <c r="A152" s="2"/>
      <c r="B152" s="2"/>
      <c r="C152" s="2"/>
    </row>
    <row r="153" ht="15.75" customHeight="1">
      <c r="A153" s="2"/>
      <c r="B153" s="2"/>
      <c r="C153" s="2"/>
    </row>
    <row r="154" ht="15.75" customHeight="1">
      <c r="A154" s="2"/>
      <c r="B154" s="2"/>
      <c r="C154" s="2"/>
    </row>
    <row r="155" ht="15.75" customHeight="1">
      <c r="A155" s="2"/>
      <c r="B155" s="2"/>
      <c r="C155" s="2"/>
    </row>
    <row r="156" ht="15.75" customHeight="1">
      <c r="A156" s="2"/>
      <c r="B156" s="2"/>
      <c r="C156" s="2"/>
    </row>
    <row r="157" ht="15.75" customHeight="1">
      <c r="A157" s="2"/>
      <c r="B157" s="2"/>
      <c r="C157" s="2"/>
    </row>
    <row r="158" ht="15.75" customHeight="1">
      <c r="A158" s="2"/>
      <c r="B158" s="2"/>
      <c r="C158" s="2"/>
    </row>
    <row r="159" ht="15.75" customHeight="1">
      <c r="A159" s="2"/>
      <c r="B159" s="2"/>
      <c r="C159" s="2"/>
    </row>
    <row r="160" ht="15.75" customHeight="1">
      <c r="A160" s="2"/>
      <c r="B160" s="2"/>
      <c r="C160" s="2"/>
    </row>
    <row r="161" ht="15.75" customHeight="1">
      <c r="A161" s="2"/>
      <c r="B161" s="2"/>
      <c r="C161" s="2"/>
    </row>
    <row r="162" ht="15.75" customHeight="1">
      <c r="A162" s="2"/>
      <c r="B162" s="2"/>
      <c r="C162" s="2"/>
    </row>
    <row r="163" ht="15.75" customHeight="1">
      <c r="A163" s="2"/>
      <c r="B163" s="2"/>
      <c r="C163" s="2"/>
    </row>
    <row r="164" ht="15.75" customHeight="1">
      <c r="A164" s="2"/>
      <c r="B164" s="2"/>
      <c r="C164" s="2"/>
    </row>
    <row r="165" ht="15.75" customHeight="1">
      <c r="A165" s="2"/>
      <c r="B165" s="2"/>
      <c r="C165" s="2"/>
    </row>
    <row r="166" ht="15.75" customHeight="1">
      <c r="A166" s="2"/>
      <c r="B166" s="2"/>
      <c r="C166" s="2"/>
    </row>
    <row r="167" ht="15.75" customHeight="1">
      <c r="A167" s="2"/>
      <c r="B167" s="2"/>
      <c r="C167" s="2"/>
    </row>
    <row r="168" ht="15.75" customHeight="1">
      <c r="A168" s="2"/>
      <c r="B168" s="2"/>
      <c r="C168" s="2"/>
    </row>
    <row r="169" ht="15.75" customHeight="1">
      <c r="A169" s="2"/>
      <c r="B169" s="2"/>
      <c r="C169" s="2"/>
    </row>
    <row r="170" ht="15.75" customHeight="1">
      <c r="A170" s="2"/>
      <c r="B170" s="2"/>
      <c r="C170" s="2"/>
    </row>
    <row r="171" ht="15.75" customHeight="1">
      <c r="A171" s="2"/>
      <c r="B171" s="2"/>
      <c r="C171" s="2"/>
    </row>
    <row r="172" ht="15.75" customHeight="1">
      <c r="A172" s="2"/>
      <c r="B172" s="2"/>
      <c r="C172" s="2"/>
    </row>
    <row r="173" ht="15.75" customHeight="1">
      <c r="A173" s="2"/>
      <c r="B173" s="2"/>
      <c r="C173" s="2"/>
    </row>
    <row r="174" ht="15.75" customHeight="1">
      <c r="A174" s="2"/>
      <c r="B174" s="2"/>
      <c r="C174" s="2"/>
    </row>
    <row r="175" ht="15.75" customHeight="1">
      <c r="A175" s="2"/>
      <c r="B175" s="2"/>
      <c r="C175" s="2"/>
    </row>
    <row r="176" ht="15.75" customHeight="1">
      <c r="A176" s="2"/>
      <c r="B176" s="2"/>
      <c r="C176" s="2"/>
    </row>
    <row r="177" ht="15.75" customHeight="1">
      <c r="A177" s="2"/>
      <c r="B177" s="2"/>
      <c r="C177" s="2"/>
    </row>
    <row r="178" ht="15.75" customHeight="1">
      <c r="A178" s="2"/>
      <c r="B178" s="2"/>
      <c r="C178" s="2"/>
    </row>
    <row r="179" ht="15.75" customHeight="1">
      <c r="A179" s="2"/>
      <c r="B179" s="2"/>
      <c r="C179" s="2"/>
    </row>
    <row r="180" ht="15.75" customHeight="1">
      <c r="A180" s="2"/>
      <c r="B180" s="2"/>
      <c r="C180" s="2"/>
    </row>
    <row r="181" ht="15.75" customHeight="1">
      <c r="A181" s="2"/>
      <c r="B181" s="2"/>
      <c r="C181" s="2"/>
    </row>
    <row r="182" ht="15.75" customHeight="1">
      <c r="A182" s="2"/>
      <c r="B182" s="2"/>
      <c r="C182" s="2"/>
    </row>
    <row r="183" ht="15.75" customHeight="1">
      <c r="A183" s="2"/>
      <c r="B183" s="2"/>
      <c r="C183" s="2"/>
    </row>
    <row r="184" ht="15.75" customHeight="1">
      <c r="A184" s="2"/>
      <c r="B184" s="2"/>
      <c r="C184" s="2"/>
    </row>
    <row r="185" ht="15.75" customHeight="1">
      <c r="A185" s="2"/>
      <c r="B185" s="2"/>
      <c r="C185" s="2"/>
    </row>
    <row r="186" ht="15.75" customHeight="1">
      <c r="A186" s="2"/>
      <c r="B186" s="2"/>
      <c r="C186" s="2"/>
    </row>
    <row r="187" ht="15.75" customHeight="1">
      <c r="A187" s="2"/>
      <c r="B187" s="2"/>
      <c r="C187" s="2"/>
    </row>
    <row r="188" ht="15.75" customHeight="1">
      <c r="A188" s="2"/>
      <c r="B188" s="2"/>
      <c r="C188" s="2"/>
    </row>
    <row r="189" ht="15.75" customHeight="1">
      <c r="A189" s="2"/>
      <c r="B189" s="2"/>
      <c r="C189" s="2"/>
    </row>
    <row r="190" ht="15.75" customHeight="1">
      <c r="A190" s="2"/>
      <c r="B190" s="2"/>
      <c r="C190" s="2"/>
    </row>
    <row r="191" ht="15.75" customHeight="1">
      <c r="A191" s="2"/>
      <c r="B191" s="2"/>
      <c r="C191" s="2"/>
    </row>
    <row r="192" ht="15.75" customHeight="1">
      <c r="A192" s="2"/>
      <c r="B192" s="2"/>
      <c r="C192" s="2"/>
    </row>
    <row r="193" ht="15.75" customHeight="1">
      <c r="A193" s="2"/>
      <c r="B193" s="2"/>
      <c r="C193" s="2"/>
    </row>
    <row r="194" ht="15.75" customHeight="1">
      <c r="A194" s="2"/>
      <c r="B194" s="2"/>
      <c r="C194" s="2"/>
    </row>
    <row r="195" ht="15.75" customHeight="1">
      <c r="A195" s="2"/>
      <c r="B195" s="2"/>
      <c r="C195" s="2"/>
    </row>
    <row r="196" ht="15.75" customHeight="1">
      <c r="A196" s="2"/>
      <c r="B196" s="2"/>
      <c r="C196" s="2"/>
    </row>
    <row r="197" ht="15.75" customHeight="1">
      <c r="A197" s="2"/>
      <c r="B197" s="2"/>
      <c r="C197" s="2"/>
    </row>
    <row r="198" ht="15.75" customHeight="1">
      <c r="A198" s="2"/>
      <c r="B198" s="2"/>
      <c r="C198" s="2"/>
    </row>
    <row r="199" ht="15.75" customHeight="1">
      <c r="A199" s="2"/>
      <c r="B199" s="2"/>
      <c r="C199" s="2"/>
    </row>
    <row r="200" ht="15.75" customHeight="1">
      <c r="A200" s="2"/>
      <c r="B200" s="2"/>
      <c r="C200" s="2"/>
    </row>
    <row r="201" ht="15.75" customHeight="1">
      <c r="A201" s="2"/>
      <c r="B201" s="2"/>
      <c r="C201" s="2"/>
    </row>
    <row r="202" ht="15.75" customHeight="1">
      <c r="A202" s="2"/>
      <c r="B202" s="2"/>
      <c r="C202" s="2"/>
    </row>
    <row r="203" ht="15.75" customHeight="1">
      <c r="A203" s="2"/>
      <c r="B203" s="2"/>
      <c r="C203" s="2"/>
    </row>
    <row r="204" ht="15.75" customHeight="1">
      <c r="A204" s="2"/>
      <c r="B204" s="2"/>
      <c r="C204" s="2"/>
    </row>
    <row r="205" ht="15.75" customHeight="1">
      <c r="A205" s="2"/>
      <c r="B205" s="2"/>
      <c r="C205" s="2"/>
    </row>
    <row r="206" ht="15.75" customHeight="1">
      <c r="A206" s="2"/>
      <c r="B206" s="2"/>
      <c r="C206" s="2"/>
    </row>
    <row r="207" ht="15.75" customHeight="1">
      <c r="A207" s="2"/>
      <c r="B207" s="2"/>
      <c r="C207" s="2"/>
    </row>
    <row r="208" ht="15.75" customHeight="1">
      <c r="A208" s="2"/>
      <c r="B208" s="2"/>
      <c r="C208" s="2"/>
    </row>
    <row r="209" ht="15.75" customHeight="1">
      <c r="A209" s="2"/>
      <c r="B209" s="2"/>
      <c r="C209" s="2"/>
    </row>
    <row r="210" ht="15.75" customHeight="1">
      <c r="A210" s="2"/>
      <c r="B210" s="2"/>
      <c r="C210" s="2"/>
    </row>
    <row r="211" ht="15.75" customHeight="1">
      <c r="A211" s="2"/>
      <c r="B211" s="2"/>
      <c r="C211" s="2"/>
    </row>
    <row r="212" ht="15.75" customHeight="1">
      <c r="A212" s="2"/>
      <c r="B212" s="2"/>
      <c r="C212" s="2"/>
    </row>
    <row r="213" ht="15.75" customHeight="1">
      <c r="A213" s="2"/>
      <c r="B213" s="2"/>
      <c r="C213" s="2"/>
    </row>
    <row r="214" ht="15.75" customHeight="1">
      <c r="A214" s="2"/>
      <c r="B214" s="2"/>
      <c r="C214" s="2"/>
    </row>
    <row r="215" ht="15.75" customHeight="1">
      <c r="A215" s="2"/>
      <c r="B215" s="2"/>
      <c r="C215" s="2"/>
    </row>
    <row r="216" ht="15.75" customHeight="1">
      <c r="A216" s="2"/>
      <c r="B216" s="2"/>
      <c r="C216" s="2"/>
    </row>
    <row r="217" ht="15.75" customHeight="1">
      <c r="A217" s="2"/>
      <c r="B217" s="2"/>
      <c r="C217" s="2"/>
    </row>
    <row r="218" ht="15.75" customHeight="1">
      <c r="A218" s="2"/>
      <c r="B218" s="2"/>
      <c r="C218" s="2"/>
    </row>
    <row r="219" ht="15.75" customHeight="1">
      <c r="A219" s="2"/>
      <c r="B219" s="2"/>
      <c r="C219" s="2"/>
    </row>
    <row r="220" ht="15.75" customHeight="1">
      <c r="A220" s="2"/>
      <c r="B220" s="2"/>
      <c r="C220" s="2"/>
    </row>
    <row r="221" ht="15.75" customHeight="1">
      <c r="A221" s="2"/>
      <c r="B221" s="2"/>
      <c r="C221" s="2"/>
    </row>
    <row r="222" ht="15.75" customHeight="1">
      <c r="A222" s="2"/>
      <c r="B222" s="2"/>
      <c r="C222" s="2"/>
    </row>
    <row r="223" ht="15.75" customHeight="1">
      <c r="A223" s="2"/>
      <c r="B223" s="2"/>
      <c r="C223" s="2"/>
    </row>
    <row r="224" ht="15.75" customHeight="1">
      <c r="A224" s="2"/>
      <c r="B224" s="2"/>
      <c r="C224" s="2"/>
    </row>
    <row r="225" ht="15.75" customHeight="1">
      <c r="A225" s="2"/>
      <c r="B225" s="2"/>
      <c r="C225" s="2"/>
    </row>
    <row r="226" ht="15.75" customHeight="1">
      <c r="A226" s="2"/>
      <c r="B226" s="2"/>
      <c r="C226" s="2"/>
    </row>
    <row r="227" ht="15.75" customHeight="1">
      <c r="A227" s="2"/>
      <c r="B227" s="2"/>
      <c r="C227" s="2"/>
    </row>
    <row r="228" ht="15.75" customHeight="1">
      <c r="A228" s="2"/>
      <c r="B228" s="2"/>
      <c r="C228" s="2"/>
    </row>
    <row r="229" ht="15.75" customHeight="1">
      <c r="A229" s="2"/>
      <c r="B229" s="2"/>
      <c r="C229" s="2"/>
    </row>
    <row r="230" ht="15.75" customHeight="1">
      <c r="A230" s="2"/>
      <c r="B230" s="2"/>
      <c r="C230" s="2"/>
    </row>
    <row r="231" ht="15.75" customHeight="1">
      <c r="A231" s="2"/>
      <c r="B231" s="2"/>
      <c r="C231" s="2"/>
    </row>
    <row r="232" ht="15.75" customHeight="1">
      <c r="A232" s="2"/>
      <c r="B232" s="2"/>
      <c r="C232" s="2"/>
    </row>
    <row r="233" ht="15.75" customHeight="1">
      <c r="A233" s="2"/>
      <c r="B233" s="2"/>
      <c r="C233" s="2"/>
    </row>
    <row r="234" ht="15.75" customHeight="1">
      <c r="A234" s="2"/>
      <c r="B234" s="2"/>
      <c r="C234" s="2"/>
    </row>
    <row r="235" ht="15.75" customHeight="1">
      <c r="A235" s="2"/>
      <c r="B235" s="2"/>
      <c r="C235" s="2"/>
    </row>
    <row r="236" ht="15.75" customHeight="1">
      <c r="A236" s="2"/>
      <c r="B236" s="2"/>
      <c r="C236" s="2"/>
    </row>
    <row r="237" ht="15.75" customHeight="1">
      <c r="A237" s="2"/>
      <c r="B237" s="2"/>
      <c r="C237" s="2"/>
    </row>
    <row r="238" ht="15.75" customHeight="1">
      <c r="A238" s="2"/>
      <c r="B238" s="2"/>
      <c r="C238" s="2"/>
    </row>
    <row r="239" ht="15.75" customHeight="1">
      <c r="A239" s="2"/>
      <c r="B239" s="2"/>
      <c r="C239" s="2"/>
    </row>
    <row r="240" ht="15.75" customHeight="1">
      <c r="A240" s="2"/>
      <c r="B240" s="2"/>
      <c r="C240" s="2"/>
    </row>
    <row r="241" ht="15.75" customHeight="1">
      <c r="A241" s="2"/>
      <c r="B241" s="2"/>
      <c r="C241" s="2"/>
    </row>
    <row r="242" ht="15.75" customHeight="1">
      <c r="A242" s="2"/>
      <c r="B242" s="2"/>
      <c r="C242" s="2"/>
    </row>
    <row r="243" ht="15.75" customHeight="1">
      <c r="A243" s="2"/>
      <c r="B243" s="2"/>
      <c r="C243" s="2"/>
    </row>
    <row r="244" ht="15.75" customHeight="1">
      <c r="A244" s="2"/>
      <c r="B244" s="2"/>
      <c r="C244" s="2"/>
    </row>
    <row r="245" ht="15.75" customHeight="1">
      <c r="A245" s="2"/>
      <c r="B245" s="2"/>
      <c r="C245" s="2"/>
    </row>
    <row r="246" ht="15.75" customHeight="1">
      <c r="A246" s="2"/>
      <c r="B246" s="2"/>
      <c r="C246" s="2"/>
    </row>
    <row r="247" ht="15.75" customHeight="1">
      <c r="A247" s="2"/>
      <c r="B247" s="2"/>
      <c r="C247" s="2"/>
    </row>
    <row r="248" ht="15.75" customHeight="1">
      <c r="A248" s="2"/>
      <c r="B248" s="2"/>
      <c r="C248" s="2"/>
    </row>
    <row r="249" ht="15.75" customHeight="1">
      <c r="A249" s="2"/>
      <c r="B249" s="2"/>
      <c r="C249" s="2"/>
    </row>
    <row r="250" ht="15.75" customHeight="1">
      <c r="A250" s="2"/>
      <c r="B250" s="2"/>
      <c r="C250" s="2"/>
    </row>
    <row r="251" ht="15.75" customHeight="1">
      <c r="A251" s="2"/>
      <c r="B251" s="2"/>
      <c r="C251" s="2"/>
    </row>
    <row r="252" ht="15.75" customHeight="1">
      <c r="A252" s="2"/>
      <c r="B252" s="2"/>
      <c r="C252" s="2"/>
    </row>
    <row r="253" ht="15.75" customHeight="1">
      <c r="A253" s="2"/>
      <c r="B253" s="2"/>
      <c r="C253" s="2"/>
    </row>
    <row r="254" ht="15.75" customHeight="1">
      <c r="A254" s="2"/>
      <c r="B254" s="2"/>
      <c r="C254" s="2"/>
    </row>
    <row r="255" ht="15.75" customHeight="1">
      <c r="A255" s="2"/>
      <c r="B255" s="2"/>
      <c r="C255" s="2"/>
    </row>
    <row r="256" ht="15.75" customHeight="1">
      <c r="A256" s="2"/>
      <c r="B256" s="2"/>
      <c r="C256" s="2"/>
    </row>
    <row r="257" ht="15.75" customHeight="1">
      <c r="A257" s="2"/>
      <c r="B257" s="2"/>
      <c r="C257" s="2"/>
    </row>
    <row r="258" ht="15.75" customHeight="1">
      <c r="A258" s="2"/>
      <c r="B258" s="2"/>
      <c r="C258" s="2"/>
    </row>
    <row r="259" ht="15.75" customHeight="1">
      <c r="A259" s="2"/>
      <c r="B259" s="2"/>
      <c r="C259" s="2"/>
    </row>
    <row r="260" ht="15.75" customHeight="1">
      <c r="A260" s="2"/>
      <c r="B260" s="2"/>
      <c r="C260" s="2"/>
    </row>
    <row r="261" ht="15.75" customHeight="1">
      <c r="A261" s="2"/>
      <c r="B261" s="2"/>
      <c r="C261" s="2"/>
    </row>
    <row r="262" ht="15.75" customHeight="1">
      <c r="A262" s="2"/>
      <c r="B262" s="2"/>
      <c r="C262" s="2"/>
    </row>
    <row r="263" ht="15.75" customHeight="1">
      <c r="A263" s="2"/>
      <c r="B263" s="2"/>
      <c r="C263" s="2"/>
    </row>
    <row r="264" ht="15.75" customHeight="1">
      <c r="A264" s="2"/>
      <c r="B264" s="2"/>
      <c r="C264" s="2"/>
    </row>
    <row r="265" ht="15.75" customHeight="1">
      <c r="A265" s="2"/>
      <c r="B265" s="2"/>
      <c r="C265" s="2"/>
    </row>
    <row r="266" ht="15.75" customHeight="1">
      <c r="A266" s="2"/>
      <c r="B266" s="2"/>
      <c r="C266" s="2"/>
    </row>
    <row r="267" ht="15.75" customHeight="1">
      <c r="A267" s="2"/>
      <c r="B267" s="2"/>
      <c r="C267" s="2"/>
    </row>
    <row r="268" ht="15.75" customHeight="1">
      <c r="A268" s="2"/>
      <c r="B268" s="2"/>
      <c r="C268" s="2"/>
    </row>
    <row r="269" ht="15.75" customHeight="1">
      <c r="A269" s="2"/>
      <c r="B269" s="2"/>
      <c r="C269" s="2"/>
    </row>
    <row r="270" ht="15.75" customHeight="1">
      <c r="A270" s="2"/>
      <c r="B270" s="2"/>
      <c r="C270" s="2"/>
    </row>
    <row r="271" ht="15.75" customHeight="1">
      <c r="A271" s="2"/>
      <c r="B271" s="2"/>
      <c r="C271" s="2"/>
    </row>
    <row r="272" ht="15.75" customHeight="1">
      <c r="A272" s="2"/>
      <c r="B272" s="2"/>
      <c r="C272" s="2"/>
    </row>
    <row r="273" ht="15.75" customHeight="1">
      <c r="A273" s="2"/>
      <c r="B273" s="2"/>
      <c r="C273" s="2"/>
    </row>
    <row r="274" ht="15.75" customHeight="1">
      <c r="A274" s="2"/>
      <c r="B274" s="2"/>
      <c r="C274" s="2"/>
    </row>
    <row r="275" ht="15.75" customHeight="1">
      <c r="A275" s="2"/>
      <c r="B275" s="2"/>
      <c r="C275" s="2"/>
    </row>
    <row r="276" ht="15.75" customHeight="1">
      <c r="A276" s="2"/>
      <c r="B276" s="2"/>
      <c r="C276" s="2"/>
    </row>
    <row r="277" ht="15.75" customHeight="1">
      <c r="A277" s="2"/>
      <c r="B277" s="2"/>
      <c r="C277" s="2"/>
    </row>
    <row r="278" ht="15.75" customHeight="1">
      <c r="A278" s="2"/>
      <c r="B278" s="2"/>
      <c r="C278" s="2"/>
    </row>
    <row r="279" ht="15.75" customHeight="1">
      <c r="A279" s="2"/>
      <c r="B279" s="2"/>
      <c r="C279" s="2"/>
    </row>
    <row r="280" ht="15.75" customHeight="1">
      <c r="A280" s="2"/>
      <c r="B280" s="2"/>
      <c r="C280" s="2"/>
    </row>
    <row r="281" ht="15.75" customHeight="1">
      <c r="A281" s="2"/>
      <c r="B281" s="2"/>
      <c r="C281" s="2"/>
    </row>
    <row r="282" ht="15.75" customHeight="1">
      <c r="A282" s="2"/>
      <c r="B282" s="2"/>
      <c r="C282" s="2"/>
    </row>
    <row r="283" ht="15.75" customHeight="1">
      <c r="A283" s="2"/>
      <c r="B283" s="2"/>
      <c r="C283" s="2"/>
    </row>
    <row r="284" ht="15.75" customHeight="1">
      <c r="A284" s="2"/>
      <c r="B284" s="2"/>
      <c r="C284" s="2"/>
    </row>
    <row r="285" ht="15.75" customHeight="1">
      <c r="A285" s="2"/>
      <c r="B285" s="2"/>
      <c r="C285" s="2"/>
    </row>
    <row r="286" ht="15.75" customHeight="1">
      <c r="A286" s="2"/>
      <c r="B286" s="2"/>
      <c r="C286" s="2"/>
    </row>
    <row r="287" ht="15.75" customHeight="1">
      <c r="A287" s="2"/>
      <c r="B287" s="2"/>
      <c r="C287" s="2"/>
    </row>
    <row r="288" ht="15.75" customHeight="1">
      <c r="A288" s="2"/>
      <c r="B288" s="2"/>
      <c r="C288" s="2"/>
    </row>
    <row r="289" ht="15.75" customHeight="1">
      <c r="A289" s="2"/>
      <c r="B289" s="2"/>
      <c r="C289" s="2"/>
    </row>
    <row r="290" ht="15.75" customHeight="1">
      <c r="A290" s="2"/>
      <c r="B290" s="2"/>
      <c r="C290" s="2"/>
    </row>
    <row r="291" ht="15.75" customHeight="1">
      <c r="A291" s="2"/>
      <c r="B291" s="2"/>
      <c r="C291" s="2"/>
    </row>
    <row r="292" ht="15.75" customHeight="1">
      <c r="A292" s="2"/>
      <c r="B292" s="2"/>
      <c r="C292" s="2"/>
    </row>
    <row r="293" ht="15.75" customHeight="1">
      <c r="A293" s="2"/>
      <c r="B293" s="2"/>
      <c r="C293" s="2"/>
    </row>
    <row r="294" ht="15.75" customHeight="1">
      <c r="A294" s="2"/>
      <c r="B294" s="2"/>
      <c r="C294" s="2"/>
    </row>
    <row r="295" ht="15.75" customHeight="1">
      <c r="A295" s="2"/>
      <c r="B295" s="2"/>
      <c r="C295" s="2"/>
    </row>
    <row r="296" ht="15.75" customHeight="1">
      <c r="A296" s="2"/>
      <c r="B296" s="2"/>
      <c r="C296" s="2"/>
    </row>
    <row r="297" ht="15.75" customHeight="1">
      <c r="A297" s="2"/>
      <c r="B297" s="2"/>
      <c r="C297" s="2"/>
    </row>
    <row r="298" ht="15.75" customHeight="1">
      <c r="A298" s="2"/>
      <c r="B298" s="2"/>
      <c r="C298" s="2"/>
    </row>
    <row r="299" ht="15.75" customHeight="1">
      <c r="A299" s="2"/>
      <c r="B299" s="2"/>
      <c r="C299" s="2"/>
    </row>
    <row r="300" ht="15.75" customHeight="1">
      <c r="A300" s="2"/>
      <c r="B300" s="2"/>
      <c r="C300" s="2"/>
    </row>
    <row r="301" ht="15.75" customHeight="1">
      <c r="A301" s="2"/>
      <c r="B301" s="2"/>
      <c r="C301" s="2"/>
    </row>
    <row r="302" ht="15.75" customHeight="1">
      <c r="A302" s="2"/>
      <c r="B302" s="2"/>
      <c r="C302" s="2"/>
    </row>
    <row r="303" ht="15.75" customHeight="1">
      <c r="A303" s="2"/>
      <c r="B303" s="2"/>
      <c r="C303" s="2"/>
    </row>
    <row r="304" ht="15.75" customHeight="1">
      <c r="A304" s="2"/>
      <c r="B304" s="2"/>
      <c r="C304" s="2"/>
    </row>
    <row r="305" ht="15.75" customHeight="1">
      <c r="A305" s="2"/>
      <c r="B305" s="2"/>
      <c r="C305" s="2"/>
    </row>
    <row r="306" ht="15.75" customHeight="1">
      <c r="A306" s="2"/>
      <c r="B306" s="2"/>
      <c r="C306" s="2"/>
    </row>
    <row r="307" ht="15.75" customHeight="1">
      <c r="A307" s="2"/>
      <c r="B307" s="2"/>
      <c r="C307" s="2"/>
    </row>
    <row r="308" ht="15.75" customHeight="1">
      <c r="A308" s="2"/>
      <c r="B308" s="2"/>
      <c r="C308" s="2"/>
    </row>
    <row r="309" ht="15.75" customHeight="1">
      <c r="A309" s="2"/>
      <c r="B309" s="2"/>
      <c r="C309" s="2"/>
    </row>
    <row r="310" ht="15.75" customHeight="1">
      <c r="A310" s="2"/>
      <c r="B310" s="2"/>
      <c r="C310" s="2"/>
    </row>
    <row r="311" ht="15.75" customHeight="1">
      <c r="A311" s="2"/>
      <c r="B311" s="2"/>
      <c r="C311" s="2"/>
    </row>
    <row r="312" ht="15.75" customHeight="1">
      <c r="A312" s="2"/>
      <c r="B312" s="2"/>
      <c r="C312" s="2"/>
    </row>
    <row r="313" ht="15.75" customHeight="1">
      <c r="A313" s="2"/>
      <c r="B313" s="2"/>
      <c r="C313" s="2"/>
    </row>
    <row r="314" ht="15.75" customHeight="1">
      <c r="A314" s="2"/>
      <c r="B314" s="2"/>
      <c r="C314" s="2"/>
    </row>
    <row r="315" ht="15.75" customHeight="1">
      <c r="A315" s="2"/>
      <c r="B315" s="2"/>
      <c r="C315" s="2"/>
    </row>
    <row r="316" ht="15.75" customHeight="1">
      <c r="A316" s="2"/>
      <c r="B316" s="2"/>
      <c r="C316" s="2"/>
    </row>
    <row r="317" ht="15.75" customHeight="1">
      <c r="A317" s="2"/>
      <c r="B317" s="2"/>
      <c r="C317" s="2"/>
    </row>
    <row r="318" ht="15.75" customHeight="1">
      <c r="A318" s="2"/>
      <c r="B318" s="2"/>
      <c r="C318" s="2"/>
    </row>
    <row r="319" ht="15.75" customHeight="1">
      <c r="A319" s="2"/>
      <c r="B319" s="2"/>
      <c r="C319" s="2"/>
    </row>
    <row r="320" ht="15.75" customHeight="1">
      <c r="A320" s="2"/>
      <c r="B320" s="2"/>
      <c r="C320" s="2"/>
    </row>
    <row r="321" ht="15.75" customHeight="1">
      <c r="A321" s="2"/>
      <c r="B321" s="2"/>
      <c r="C321" s="2"/>
    </row>
    <row r="322" ht="15.75" customHeight="1">
      <c r="A322" s="2"/>
      <c r="B322" s="2"/>
      <c r="C322" s="2"/>
    </row>
    <row r="323" ht="15.75" customHeight="1">
      <c r="A323" s="2"/>
      <c r="B323" s="2"/>
      <c r="C323" s="2"/>
    </row>
    <row r="324" ht="15.75" customHeight="1">
      <c r="A324" s="2"/>
      <c r="B324" s="2"/>
      <c r="C324" s="2"/>
    </row>
    <row r="325" ht="15.75" customHeight="1">
      <c r="A325" s="2"/>
      <c r="B325" s="2"/>
      <c r="C325" s="2"/>
    </row>
    <row r="326" ht="15.75" customHeight="1">
      <c r="A326" s="2"/>
      <c r="B326" s="2"/>
      <c r="C326" s="2"/>
    </row>
    <row r="327" ht="15.75" customHeight="1">
      <c r="A327" s="2"/>
      <c r="B327" s="2"/>
      <c r="C327" s="2"/>
    </row>
    <row r="328" ht="15.75" customHeight="1">
      <c r="A328" s="2"/>
      <c r="B328" s="2"/>
      <c r="C328" s="2"/>
    </row>
    <row r="329" ht="15.75" customHeight="1">
      <c r="A329" s="2"/>
      <c r="B329" s="2"/>
      <c r="C329" s="2"/>
    </row>
    <row r="330" ht="15.75" customHeight="1">
      <c r="A330" s="2"/>
      <c r="B330" s="2"/>
      <c r="C330" s="2"/>
    </row>
    <row r="331" ht="15.75" customHeight="1">
      <c r="A331" s="2"/>
      <c r="B331" s="2"/>
      <c r="C331" s="2"/>
    </row>
    <row r="332" ht="15.75" customHeight="1">
      <c r="A332" s="2"/>
      <c r="B332" s="2"/>
      <c r="C332" s="2"/>
    </row>
    <row r="333" ht="15.75" customHeight="1">
      <c r="A333" s="2"/>
      <c r="B333" s="2"/>
      <c r="C333" s="2"/>
    </row>
    <row r="334" ht="15.75" customHeight="1">
      <c r="A334" s="2"/>
      <c r="B334" s="2"/>
      <c r="C334" s="2"/>
    </row>
    <row r="335" ht="15.75" customHeight="1">
      <c r="A335" s="2"/>
      <c r="B335" s="2"/>
      <c r="C335" s="2"/>
    </row>
    <row r="336" ht="15.75" customHeight="1">
      <c r="A336" s="2"/>
      <c r="B336" s="2"/>
      <c r="C336" s="2"/>
    </row>
    <row r="337" ht="15.75" customHeight="1">
      <c r="A337" s="2"/>
      <c r="B337" s="2"/>
      <c r="C337" s="2"/>
    </row>
    <row r="338" ht="15.75" customHeight="1">
      <c r="A338" s="2"/>
      <c r="B338" s="2"/>
      <c r="C338" s="2"/>
    </row>
    <row r="339" ht="15.75" customHeight="1">
      <c r="A339" s="2"/>
      <c r="B339" s="2"/>
      <c r="C339" s="2"/>
    </row>
    <row r="340" ht="15.75" customHeight="1">
      <c r="A340" s="2"/>
      <c r="B340" s="2"/>
      <c r="C340" s="2"/>
    </row>
    <row r="341" ht="15.75" customHeight="1">
      <c r="A341" s="2"/>
      <c r="B341" s="2"/>
      <c r="C341" s="2"/>
    </row>
    <row r="342" ht="15.75" customHeight="1">
      <c r="A342" s="2"/>
      <c r="B342" s="2"/>
      <c r="C342" s="2"/>
    </row>
    <row r="343" ht="15.75" customHeight="1">
      <c r="A343" s="2"/>
      <c r="B343" s="2"/>
      <c r="C343" s="2"/>
    </row>
    <row r="344" ht="15.75" customHeight="1">
      <c r="A344" s="2"/>
      <c r="B344" s="2"/>
      <c r="C344" s="2"/>
    </row>
    <row r="345" ht="15.75" customHeight="1">
      <c r="A345" s="2"/>
      <c r="B345" s="2"/>
      <c r="C345" s="2"/>
    </row>
    <row r="346" ht="15.75" customHeight="1">
      <c r="A346" s="2"/>
      <c r="B346" s="2"/>
      <c r="C346" s="2"/>
    </row>
    <row r="347" ht="15.75" customHeight="1">
      <c r="A347" s="2"/>
      <c r="B347" s="2"/>
      <c r="C347" s="2"/>
    </row>
    <row r="348" ht="15.75" customHeight="1">
      <c r="A348" s="2"/>
      <c r="B348" s="2"/>
      <c r="C348" s="2"/>
    </row>
    <row r="349" ht="15.75" customHeight="1">
      <c r="A349" s="2"/>
      <c r="B349" s="2"/>
      <c r="C349" s="2"/>
    </row>
    <row r="350" ht="15.75" customHeight="1">
      <c r="A350" s="2"/>
      <c r="B350" s="2"/>
      <c r="C350" s="2"/>
    </row>
    <row r="351" ht="15.75" customHeight="1">
      <c r="A351" s="2"/>
      <c r="B351" s="2"/>
      <c r="C351" s="2"/>
    </row>
    <row r="352" ht="15.75" customHeight="1">
      <c r="A352" s="2"/>
      <c r="B352" s="2"/>
      <c r="C352" s="2"/>
    </row>
    <row r="353" ht="15.75" customHeight="1">
      <c r="A353" s="2"/>
      <c r="B353" s="2"/>
      <c r="C353" s="2"/>
    </row>
    <row r="354" ht="15.75" customHeight="1">
      <c r="A354" s="2"/>
      <c r="B354" s="2"/>
      <c r="C354" s="2"/>
    </row>
    <row r="355" ht="15.75" customHeight="1">
      <c r="A355" s="2"/>
      <c r="B355" s="2"/>
      <c r="C355" s="2"/>
    </row>
    <row r="356" ht="15.75" customHeight="1">
      <c r="A356" s="2"/>
      <c r="B356" s="2"/>
      <c r="C356" s="2"/>
    </row>
    <row r="357" ht="15.75" customHeight="1">
      <c r="A357" s="2"/>
      <c r="B357" s="2"/>
      <c r="C357" s="2"/>
    </row>
    <row r="358" ht="15.75" customHeight="1">
      <c r="A358" s="2"/>
      <c r="B358" s="2"/>
      <c r="C358" s="2"/>
    </row>
    <row r="359" ht="15.75" customHeight="1">
      <c r="A359" s="2"/>
      <c r="B359" s="2"/>
      <c r="C359" s="2"/>
    </row>
    <row r="360" ht="15.75" customHeight="1">
      <c r="A360" s="2"/>
      <c r="B360" s="2"/>
      <c r="C360" s="2"/>
    </row>
    <row r="361" ht="15.75" customHeight="1">
      <c r="A361" s="2"/>
      <c r="B361" s="2"/>
      <c r="C361" s="2"/>
    </row>
    <row r="362" ht="15.75" customHeight="1">
      <c r="A362" s="2"/>
      <c r="B362" s="2"/>
      <c r="C362" s="2"/>
    </row>
    <row r="363" ht="15.75" customHeight="1">
      <c r="A363" s="2"/>
      <c r="B363" s="2"/>
      <c r="C363" s="2"/>
    </row>
    <row r="364" ht="15.75" customHeight="1">
      <c r="A364" s="2"/>
      <c r="B364" s="2"/>
      <c r="C364" s="2"/>
    </row>
    <row r="365" ht="15.75" customHeight="1">
      <c r="A365" s="2"/>
      <c r="B365" s="2"/>
      <c r="C365" s="2"/>
    </row>
    <row r="366" ht="15.75" customHeight="1">
      <c r="A366" s="2"/>
      <c r="B366" s="2"/>
      <c r="C366" s="2"/>
    </row>
    <row r="367" ht="15.75" customHeight="1">
      <c r="A367" s="2"/>
      <c r="B367" s="2"/>
      <c r="C367" s="2"/>
    </row>
    <row r="368" ht="15.75" customHeight="1">
      <c r="A368" s="2"/>
      <c r="B368" s="2"/>
      <c r="C368" s="2"/>
    </row>
    <row r="369" ht="15.75" customHeight="1">
      <c r="A369" s="2"/>
      <c r="B369" s="2"/>
      <c r="C369" s="2"/>
    </row>
    <row r="370" ht="15.75" customHeight="1">
      <c r="A370" s="2"/>
      <c r="B370" s="2"/>
      <c r="C370" s="2"/>
    </row>
    <row r="371" ht="15.75" customHeight="1">
      <c r="A371" s="2"/>
      <c r="B371" s="2"/>
      <c r="C371" s="2"/>
    </row>
    <row r="372" ht="15.75" customHeight="1">
      <c r="A372" s="2"/>
      <c r="B372" s="2"/>
      <c r="C372" s="2"/>
    </row>
    <row r="373" ht="15.75" customHeight="1">
      <c r="A373" s="2"/>
      <c r="B373" s="2"/>
      <c r="C373" s="2"/>
    </row>
    <row r="374" ht="15.75" customHeight="1">
      <c r="A374" s="2"/>
      <c r="B374" s="2"/>
      <c r="C374" s="2"/>
    </row>
    <row r="375" ht="15.75" customHeight="1">
      <c r="A375" s="2"/>
      <c r="B375" s="2"/>
      <c r="C375" s="2"/>
    </row>
    <row r="376" ht="15.75" customHeight="1">
      <c r="A376" s="2"/>
      <c r="B376" s="2"/>
      <c r="C376" s="2"/>
    </row>
    <row r="377" ht="15.75" customHeight="1">
      <c r="A377" s="2"/>
      <c r="B377" s="2"/>
      <c r="C377" s="2"/>
    </row>
    <row r="378" ht="15.75" customHeight="1">
      <c r="A378" s="2"/>
      <c r="B378" s="2"/>
      <c r="C378" s="2"/>
    </row>
    <row r="379" ht="15.75" customHeight="1">
      <c r="A379" s="2"/>
      <c r="B379" s="2"/>
      <c r="C379" s="2"/>
    </row>
    <row r="380" ht="15.75" customHeight="1">
      <c r="A380" s="2"/>
      <c r="B380" s="2"/>
      <c r="C380" s="2"/>
    </row>
    <row r="381" ht="15.75" customHeight="1">
      <c r="A381" s="2"/>
      <c r="B381" s="2"/>
      <c r="C381" s="2"/>
    </row>
    <row r="382" ht="15.75" customHeight="1">
      <c r="A382" s="2"/>
      <c r="B382" s="2"/>
      <c r="C382" s="2"/>
    </row>
    <row r="383" ht="15.75" customHeight="1">
      <c r="A383" s="2"/>
      <c r="B383" s="2"/>
      <c r="C383" s="2"/>
    </row>
    <row r="384" ht="15.75" customHeight="1">
      <c r="A384" s="2"/>
      <c r="B384" s="2"/>
      <c r="C384" s="2"/>
    </row>
    <row r="385" ht="15.75" customHeight="1">
      <c r="A385" s="2"/>
      <c r="B385" s="2"/>
      <c r="C385" s="2"/>
    </row>
    <row r="386" ht="15.75" customHeight="1">
      <c r="A386" s="2"/>
      <c r="B386" s="2"/>
      <c r="C386" s="2"/>
    </row>
    <row r="387" ht="15.75" customHeight="1">
      <c r="A387" s="2"/>
      <c r="B387" s="2"/>
      <c r="C387" s="2"/>
    </row>
    <row r="388" ht="15.75" customHeight="1">
      <c r="A388" s="2"/>
      <c r="B388" s="2"/>
      <c r="C388" s="2"/>
    </row>
    <row r="389" ht="15.75" customHeight="1">
      <c r="A389" s="2"/>
      <c r="B389" s="2"/>
      <c r="C389" s="2"/>
    </row>
    <row r="390" ht="15.75" customHeight="1">
      <c r="A390" s="2"/>
      <c r="B390" s="2"/>
      <c r="C390" s="2"/>
    </row>
    <row r="391" ht="15.75" customHeight="1">
      <c r="A391" s="2"/>
      <c r="B391" s="2"/>
      <c r="C391" s="2"/>
    </row>
    <row r="392" ht="15.75" customHeight="1">
      <c r="A392" s="2"/>
      <c r="B392" s="2"/>
      <c r="C392" s="2"/>
    </row>
    <row r="393" ht="15.75" customHeight="1">
      <c r="A393" s="2"/>
      <c r="B393" s="2"/>
      <c r="C393" s="2"/>
    </row>
    <row r="394" ht="15.75" customHeight="1">
      <c r="A394" s="2"/>
      <c r="B394" s="2"/>
      <c r="C394" s="2"/>
    </row>
    <row r="395" ht="15.75" customHeight="1">
      <c r="A395" s="2"/>
      <c r="B395" s="2"/>
      <c r="C395" s="2"/>
    </row>
    <row r="396" ht="15.75" customHeight="1">
      <c r="A396" s="2"/>
      <c r="B396" s="2"/>
      <c r="C396" s="2"/>
    </row>
    <row r="397" ht="15.75" customHeight="1">
      <c r="A397" s="2"/>
      <c r="B397" s="2"/>
      <c r="C397" s="2"/>
    </row>
    <row r="398" ht="15.75" customHeight="1">
      <c r="A398" s="2"/>
      <c r="B398" s="2"/>
      <c r="C398" s="2"/>
    </row>
    <row r="399" ht="15.75" customHeight="1">
      <c r="A399" s="2"/>
      <c r="B399" s="2"/>
      <c r="C399" s="2"/>
    </row>
    <row r="400" ht="15.75" customHeight="1">
      <c r="A400" s="2"/>
      <c r="B400" s="2"/>
      <c r="C400" s="2"/>
    </row>
    <row r="401" ht="15.75" customHeight="1">
      <c r="A401" s="2"/>
      <c r="B401" s="2"/>
      <c r="C401" s="2"/>
    </row>
    <row r="402" ht="15.75" customHeight="1">
      <c r="A402" s="2"/>
      <c r="B402" s="2"/>
      <c r="C402" s="2"/>
    </row>
    <row r="403" ht="15.75" customHeight="1">
      <c r="A403" s="2"/>
      <c r="B403" s="2"/>
      <c r="C403" s="2"/>
    </row>
    <row r="404" ht="15.75" customHeight="1">
      <c r="A404" s="2"/>
      <c r="B404" s="2"/>
      <c r="C404" s="2"/>
    </row>
    <row r="405" ht="15.75" customHeight="1">
      <c r="A405" s="2"/>
      <c r="B405" s="2"/>
      <c r="C405" s="2"/>
    </row>
    <row r="406" ht="15.75" customHeight="1">
      <c r="A406" s="2"/>
      <c r="B406" s="2"/>
      <c r="C406" s="2"/>
    </row>
    <row r="407" ht="15.75" customHeight="1">
      <c r="A407" s="2"/>
      <c r="B407" s="2"/>
      <c r="C407" s="2"/>
    </row>
    <row r="408" ht="15.75" customHeight="1">
      <c r="A408" s="2"/>
      <c r="B408" s="2"/>
      <c r="C408" s="2"/>
    </row>
    <row r="409" ht="15.75" customHeight="1">
      <c r="A409" s="2"/>
      <c r="B409" s="2"/>
      <c r="C409" s="2"/>
    </row>
    <row r="410" ht="15.75" customHeight="1">
      <c r="A410" s="2"/>
      <c r="B410" s="2"/>
      <c r="C410" s="2"/>
    </row>
    <row r="411" ht="15.75" customHeight="1">
      <c r="A411" s="2"/>
      <c r="B411" s="2"/>
      <c r="C411" s="2"/>
    </row>
    <row r="412" ht="15.75" customHeight="1">
      <c r="A412" s="2"/>
      <c r="B412" s="2"/>
      <c r="C412" s="2"/>
    </row>
    <row r="413" ht="15.75" customHeight="1">
      <c r="A413" s="2"/>
      <c r="B413" s="2"/>
      <c r="C413" s="2"/>
    </row>
    <row r="414" ht="15.75" customHeight="1">
      <c r="A414" s="2"/>
      <c r="B414" s="2"/>
      <c r="C414" s="2"/>
    </row>
    <row r="415" ht="15.75" customHeight="1">
      <c r="A415" s="2"/>
      <c r="B415" s="2"/>
      <c r="C415" s="2"/>
    </row>
    <row r="416" ht="15.75" customHeight="1">
      <c r="A416" s="2"/>
      <c r="B416" s="2"/>
      <c r="C416" s="2"/>
    </row>
    <row r="417" ht="15.75" customHeight="1">
      <c r="A417" s="2"/>
      <c r="B417" s="2"/>
      <c r="C417" s="2"/>
    </row>
    <row r="418" ht="15.75" customHeight="1">
      <c r="A418" s="2"/>
      <c r="B418" s="2"/>
      <c r="C418" s="2"/>
    </row>
    <row r="419" ht="15.75" customHeight="1">
      <c r="A419" s="2"/>
      <c r="B419" s="2"/>
      <c r="C419" s="2"/>
    </row>
    <row r="420" ht="15.75" customHeight="1">
      <c r="A420" s="2"/>
      <c r="B420" s="2"/>
      <c r="C420" s="2"/>
    </row>
    <row r="421" ht="15.75" customHeight="1">
      <c r="A421" s="2"/>
      <c r="B421" s="2"/>
      <c r="C421" s="2"/>
    </row>
    <row r="422" ht="15.75" customHeight="1">
      <c r="A422" s="2"/>
      <c r="B422" s="2"/>
      <c r="C422" s="2"/>
    </row>
    <row r="423" ht="15.75" customHeight="1">
      <c r="A423" s="2"/>
      <c r="B423" s="2"/>
      <c r="C423" s="2"/>
    </row>
    <row r="424" ht="15.75" customHeight="1">
      <c r="A424" s="2"/>
      <c r="B424" s="2"/>
      <c r="C424" s="2"/>
    </row>
    <row r="425" ht="15.75" customHeight="1">
      <c r="A425" s="2"/>
      <c r="B425" s="2"/>
      <c r="C425" s="2"/>
    </row>
    <row r="426" ht="15.75" customHeight="1">
      <c r="A426" s="2"/>
      <c r="B426" s="2"/>
      <c r="C426" s="2"/>
    </row>
    <row r="427" ht="15.75" customHeight="1">
      <c r="A427" s="2"/>
      <c r="B427" s="2"/>
      <c r="C427" s="2"/>
    </row>
    <row r="428" ht="15.75" customHeight="1">
      <c r="A428" s="2"/>
      <c r="B428" s="2"/>
      <c r="C428" s="2"/>
    </row>
    <row r="429" ht="15.75" customHeight="1">
      <c r="A429" s="2"/>
      <c r="B429" s="2"/>
      <c r="C429" s="2"/>
    </row>
    <row r="430" ht="15.75" customHeight="1">
      <c r="A430" s="2"/>
      <c r="B430" s="2"/>
      <c r="C430" s="2"/>
    </row>
    <row r="431" ht="15.75" customHeight="1">
      <c r="A431" s="2"/>
      <c r="B431" s="2"/>
      <c r="C431" s="2"/>
    </row>
    <row r="432" ht="15.75" customHeight="1">
      <c r="A432" s="2"/>
      <c r="B432" s="2"/>
      <c r="C432" s="2"/>
    </row>
    <row r="433" ht="15.75" customHeight="1">
      <c r="A433" s="2"/>
      <c r="B433" s="2"/>
      <c r="C433" s="2"/>
    </row>
    <row r="434" ht="15.75" customHeight="1">
      <c r="A434" s="2"/>
      <c r="B434" s="2"/>
      <c r="C434" s="2"/>
    </row>
    <row r="435" ht="15.75" customHeight="1">
      <c r="A435" s="2"/>
      <c r="B435" s="2"/>
      <c r="C435" s="2"/>
    </row>
    <row r="436" ht="15.75" customHeight="1">
      <c r="A436" s="2"/>
      <c r="B436" s="2"/>
      <c r="C436" s="2"/>
    </row>
    <row r="437" ht="15.75" customHeight="1">
      <c r="A437" s="2"/>
      <c r="B437" s="2"/>
      <c r="C437" s="2"/>
    </row>
    <row r="438" ht="15.75" customHeight="1">
      <c r="A438" s="2"/>
      <c r="B438" s="2"/>
      <c r="C438" s="2"/>
    </row>
    <row r="439" ht="15.75" customHeight="1">
      <c r="A439" s="2"/>
      <c r="B439" s="2"/>
      <c r="C439" s="2"/>
    </row>
    <row r="440" ht="15.75" customHeight="1">
      <c r="A440" s="2"/>
      <c r="B440" s="2"/>
      <c r="C440" s="2"/>
    </row>
    <row r="441" ht="15.75" customHeight="1">
      <c r="A441" s="2"/>
      <c r="B441" s="2"/>
      <c r="C441" s="2"/>
    </row>
    <row r="442" ht="15.75" customHeight="1">
      <c r="A442" s="2"/>
      <c r="B442" s="2"/>
      <c r="C442" s="2"/>
    </row>
    <row r="443" ht="15.75" customHeight="1">
      <c r="A443" s="2"/>
      <c r="B443" s="2"/>
      <c r="C443" s="2"/>
    </row>
    <row r="444" ht="15.75" customHeight="1">
      <c r="A444" s="2"/>
      <c r="B444" s="2"/>
      <c r="C444" s="2"/>
    </row>
    <row r="445" ht="15.75" customHeight="1">
      <c r="A445" s="2"/>
      <c r="B445" s="2"/>
      <c r="C445" s="2"/>
    </row>
    <row r="446" ht="15.75" customHeight="1">
      <c r="A446" s="2"/>
      <c r="B446" s="2"/>
      <c r="C446" s="2"/>
    </row>
    <row r="447" ht="15.75" customHeight="1">
      <c r="A447" s="2"/>
      <c r="B447" s="2"/>
      <c r="C447" s="2"/>
    </row>
    <row r="448" ht="15.75" customHeight="1">
      <c r="A448" s="2"/>
      <c r="B448" s="2"/>
      <c r="C448" s="2"/>
    </row>
    <row r="449" ht="15.75" customHeight="1">
      <c r="A449" s="2"/>
      <c r="B449" s="2"/>
      <c r="C449" s="2"/>
    </row>
    <row r="450" ht="15.75" customHeight="1">
      <c r="A450" s="2"/>
      <c r="B450" s="2"/>
      <c r="C450" s="2"/>
    </row>
    <row r="451" ht="15.75" customHeight="1">
      <c r="A451" s="2"/>
      <c r="B451" s="2"/>
      <c r="C451" s="2"/>
    </row>
    <row r="452" ht="15.75" customHeight="1">
      <c r="A452" s="2"/>
      <c r="B452" s="2"/>
      <c r="C452" s="2"/>
    </row>
    <row r="453" ht="15.75" customHeight="1">
      <c r="A453" s="2"/>
      <c r="B453" s="2"/>
      <c r="C453" s="2"/>
    </row>
    <row r="454" ht="15.75" customHeight="1">
      <c r="A454" s="2"/>
      <c r="B454" s="2"/>
      <c r="C454" s="2"/>
    </row>
    <row r="455" ht="15.75" customHeight="1">
      <c r="A455" s="2"/>
      <c r="B455" s="2"/>
      <c r="C455" s="2"/>
    </row>
    <row r="456" ht="15.75" customHeight="1">
      <c r="A456" s="2"/>
      <c r="B456" s="2"/>
      <c r="C456" s="2"/>
    </row>
    <row r="457" ht="15.75" customHeight="1">
      <c r="A457" s="2"/>
      <c r="B457" s="2"/>
      <c r="C457" s="2"/>
    </row>
    <row r="458" ht="15.75" customHeight="1">
      <c r="A458" s="2"/>
      <c r="B458" s="2"/>
      <c r="C458" s="2"/>
    </row>
    <row r="459" ht="15.75" customHeight="1">
      <c r="A459" s="2"/>
      <c r="B459" s="2"/>
      <c r="C459" s="2"/>
    </row>
    <row r="460" ht="15.75" customHeight="1">
      <c r="A460" s="2"/>
      <c r="B460" s="2"/>
      <c r="C460" s="2"/>
    </row>
    <row r="461" ht="15.75" customHeight="1">
      <c r="A461" s="2"/>
      <c r="B461" s="2"/>
      <c r="C461" s="2"/>
    </row>
    <row r="462" ht="15.75" customHeight="1">
      <c r="A462" s="2"/>
      <c r="B462" s="2"/>
      <c r="C462" s="2"/>
    </row>
    <row r="463" ht="15.75" customHeight="1">
      <c r="A463" s="2"/>
      <c r="B463" s="2"/>
      <c r="C463" s="2"/>
    </row>
    <row r="464" ht="15.75" customHeight="1">
      <c r="A464" s="2"/>
      <c r="B464" s="2"/>
      <c r="C464" s="2"/>
    </row>
    <row r="465" ht="15.75" customHeight="1">
      <c r="A465" s="2"/>
      <c r="B465" s="2"/>
      <c r="C465" s="2"/>
    </row>
    <row r="466" ht="15.75" customHeight="1">
      <c r="A466" s="2"/>
      <c r="B466" s="2"/>
      <c r="C466" s="2"/>
    </row>
    <row r="467" ht="15.75" customHeight="1">
      <c r="A467" s="2"/>
      <c r="B467" s="2"/>
      <c r="C467" s="2"/>
    </row>
    <row r="468" ht="15.75" customHeight="1">
      <c r="A468" s="2"/>
      <c r="B468" s="2"/>
      <c r="C468" s="2"/>
    </row>
    <row r="469" ht="15.75" customHeight="1">
      <c r="A469" s="2"/>
      <c r="B469" s="2"/>
      <c r="C469" s="2"/>
    </row>
    <row r="470" ht="15.75" customHeight="1">
      <c r="A470" s="2"/>
      <c r="B470" s="2"/>
      <c r="C470" s="2"/>
    </row>
    <row r="471" ht="15.75" customHeight="1">
      <c r="A471" s="2"/>
      <c r="B471" s="2"/>
      <c r="C471" s="2"/>
    </row>
    <row r="472" ht="15.75" customHeight="1">
      <c r="A472" s="2"/>
      <c r="B472" s="2"/>
      <c r="C472" s="2"/>
    </row>
    <row r="473" ht="15.75" customHeight="1">
      <c r="A473" s="2"/>
      <c r="B473" s="2"/>
      <c r="C473" s="2"/>
    </row>
    <row r="474" ht="15.75" customHeight="1">
      <c r="A474" s="2"/>
      <c r="B474" s="2"/>
      <c r="C474" s="2"/>
    </row>
    <row r="475" ht="15.75" customHeight="1">
      <c r="A475" s="2"/>
      <c r="B475" s="2"/>
      <c r="C475" s="2"/>
    </row>
    <row r="476" ht="15.75" customHeight="1">
      <c r="A476" s="2"/>
      <c r="B476" s="2"/>
      <c r="C476" s="2"/>
    </row>
    <row r="477" ht="15.75" customHeight="1">
      <c r="A477" s="2"/>
      <c r="B477" s="2"/>
      <c r="C477" s="2"/>
    </row>
    <row r="478" ht="15.75" customHeight="1">
      <c r="A478" s="2"/>
      <c r="B478" s="2"/>
      <c r="C478" s="2"/>
    </row>
    <row r="479" ht="15.75" customHeight="1">
      <c r="A479" s="2"/>
      <c r="B479" s="2"/>
      <c r="C479" s="2"/>
    </row>
    <row r="480" ht="15.75" customHeight="1">
      <c r="A480" s="2"/>
      <c r="B480" s="2"/>
      <c r="C480" s="2"/>
    </row>
    <row r="481" ht="15.75" customHeight="1">
      <c r="A481" s="2"/>
      <c r="B481" s="2"/>
      <c r="C481" s="2"/>
    </row>
    <row r="482" ht="15.75" customHeight="1">
      <c r="A482" s="2"/>
      <c r="B482" s="2"/>
      <c r="C482" s="2"/>
    </row>
    <row r="483" ht="15.75" customHeight="1">
      <c r="A483" s="2"/>
      <c r="B483" s="2"/>
      <c r="C483" s="2"/>
    </row>
    <row r="484" ht="15.75" customHeight="1">
      <c r="A484" s="2"/>
      <c r="B484" s="2"/>
      <c r="C484" s="2"/>
    </row>
    <row r="485" ht="15.75" customHeight="1">
      <c r="A485" s="2"/>
      <c r="B485" s="2"/>
      <c r="C485" s="2"/>
    </row>
    <row r="486" ht="15.75" customHeight="1">
      <c r="A486" s="2"/>
      <c r="B486" s="2"/>
      <c r="C486" s="2"/>
    </row>
    <row r="487" ht="15.75" customHeight="1">
      <c r="A487" s="2"/>
      <c r="B487" s="2"/>
      <c r="C487" s="2"/>
    </row>
    <row r="488" ht="15.75" customHeight="1">
      <c r="A488" s="2"/>
      <c r="B488" s="2"/>
      <c r="C488" s="2"/>
    </row>
    <row r="489" ht="15.75" customHeight="1">
      <c r="A489" s="2"/>
      <c r="B489" s="2"/>
      <c r="C489" s="2"/>
    </row>
    <row r="490" ht="15.75" customHeight="1">
      <c r="A490" s="2"/>
      <c r="B490" s="2"/>
      <c r="C490" s="2"/>
    </row>
    <row r="491" ht="15.75" customHeight="1">
      <c r="A491" s="2"/>
      <c r="B491" s="2"/>
      <c r="C491" s="2"/>
    </row>
    <row r="492" ht="15.75" customHeight="1">
      <c r="A492" s="2"/>
      <c r="B492" s="2"/>
      <c r="C492" s="2"/>
    </row>
    <row r="493" ht="15.75" customHeight="1">
      <c r="A493" s="2"/>
      <c r="B493" s="2"/>
      <c r="C493" s="2"/>
    </row>
    <row r="494" ht="15.75" customHeight="1">
      <c r="A494" s="2"/>
      <c r="B494" s="2"/>
      <c r="C494" s="2"/>
    </row>
    <row r="495" ht="15.75" customHeight="1">
      <c r="A495" s="2"/>
      <c r="B495" s="2"/>
      <c r="C495" s="2"/>
    </row>
    <row r="496" ht="15.75" customHeight="1">
      <c r="A496" s="2"/>
      <c r="B496" s="2"/>
      <c r="C496" s="2"/>
    </row>
    <row r="497" ht="15.75" customHeight="1">
      <c r="A497" s="2"/>
      <c r="B497" s="2"/>
      <c r="C497" s="2"/>
    </row>
    <row r="498" ht="15.75" customHeight="1">
      <c r="A498" s="2"/>
      <c r="B498" s="2"/>
      <c r="C498" s="2"/>
    </row>
    <row r="499" ht="15.75" customHeight="1">
      <c r="A499" s="2"/>
      <c r="B499" s="2"/>
      <c r="C499" s="2"/>
    </row>
    <row r="500" ht="15.75" customHeight="1">
      <c r="A500" s="2"/>
      <c r="B500" s="2"/>
      <c r="C500" s="2"/>
    </row>
    <row r="501" ht="15.75" customHeight="1">
      <c r="A501" s="2"/>
      <c r="B501" s="2"/>
      <c r="C501" s="2"/>
    </row>
    <row r="502" ht="15.75" customHeight="1">
      <c r="A502" s="2"/>
      <c r="B502" s="2"/>
      <c r="C502" s="2"/>
    </row>
    <row r="503" ht="15.75" customHeight="1">
      <c r="A503" s="2"/>
      <c r="B503" s="2"/>
      <c r="C503" s="2"/>
    </row>
    <row r="504" ht="15.75" customHeight="1">
      <c r="A504" s="2"/>
      <c r="B504" s="2"/>
      <c r="C504" s="2"/>
    </row>
    <row r="505" ht="15.75" customHeight="1">
      <c r="A505" s="2"/>
      <c r="B505" s="2"/>
      <c r="C505" s="2"/>
    </row>
    <row r="506" ht="15.75" customHeight="1">
      <c r="A506" s="2"/>
      <c r="B506" s="2"/>
      <c r="C506" s="2"/>
    </row>
    <row r="507" ht="15.75" customHeight="1">
      <c r="A507" s="2"/>
      <c r="B507" s="2"/>
      <c r="C507" s="2"/>
    </row>
    <row r="508" ht="15.75" customHeight="1">
      <c r="A508" s="2"/>
      <c r="B508" s="2"/>
      <c r="C508" s="2"/>
    </row>
    <row r="509" ht="15.75" customHeight="1">
      <c r="A509" s="2"/>
      <c r="B509" s="2"/>
      <c r="C509" s="2"/>
    </row>
    <row r="510" ht="15.75" customHeight="1">
      <c r="A510" s="2"/>
      <c r="B510" s="2"/>
      <c r="C510" s="2"/>
    </row>
    <row r="511" ht="15.75" customHeight="1">
      <c r="A511" s="2"/>
      <c r="B511" s="2"/>
      <c r="C511" s="2"/>
    </row>
    <row r="512" ht="15.75" customHeight="1">
      <c r="A512" s="2"/>
      <c r="B512" s="2"/>
      <c r="C512" s="2"/>
    </row>
    <row r="513" ht="15.75" customHeight="1">
      <c r="A513" s="2"/>
      <c r="B513" s="2"/>
      <c r="C513" s="2"/>
    </row>
    <row r="514" ht="15.75" customHeight="1">
      <c r="A514" s="2"/>
      <c r="B514" s="2"/>
      <c r="C514" s="2"/>
    </row>
    <row r="515" ht="15.75" customHeight="1">
      <c r="A515" s="2"/>
      <c r="B515" s="2"/>
      <c r="C515" s="2"/>
    </row>
    <row r="516" ht="15.75" customHeight="1">
      <c r="A516" s="2"/>
      <c r="B516" s="2"/>
      <c r="C516" s="2"/>
    </row>
    <row r="517" ht="15.75" customHeight="1">
      <c r="A517" s="2"/>
      <c r="B517" s="2"/>
      <c r="C517" s="2"/>
    </row>
    <row r="518" ht="15.75" customHeight="1">
      <c r="A518" s="2"/>
      <c r="B518" s="2"/>
      <c r="C518" s="2"/>
    </row>
    <row r="519" ht="15.75" customHeight="1">
      <c r="A519" s="2"/>
      <c r="B519" s="2"/>
      <c r="C519" s="2"/>
    </row>
    <row r="520" ht="15.75" customHeight="1">
      <c r="A520" s="2"/>
      <c r="B520" s="2"/>
      <c r="C520" s="2"/>
    </row>
    <row r="521" ht="15.75" customHeight="1">
      <c r="A521" s="2"/>
      <c r="B521" s="2"/>
      <c r="C521" s="2"/>
    </row>
    <row r="522" ht="15.75" customHeight="1">
      <c r="A522" s="2"/>
      <c r="B522" s="2"/>
      <c r="C522" s="2"/>
    </row>
    <row r="523" ht="15.75" customHeight="1">
      <c r="A523" s="2"/>
      <c r="B523" s="2"/>
      <c r="C523" s="2"/>
    </row>
    <row r="524" ht="15.75" customHeight="1">
      <c r="A524" s="2"/>
      <c r="B524" s="2"/>
      <c r="C524" s="2"/>
    </row>
    <row r="525" ht="15.75" customHeight="1">
      <c r="A525" s="2"/>
      <c r="B525" s="2"/>
      <c r="C525" s="2"/>
    </row>
    <row r="526" ht="15.75" customHeight="1">
      <c r="A526" s="2"/>
      <c r="B526" s="2"/>
      <c r="C526" s="2"/>
    </row>
    <row r="527" ht="15.75" customHeight="1">
      <c r="A527" s="2"/>
      <c r="B527" s="2"/>
      <c r="C527" s="2"/>
    </row>
    <row r="528" ht="15.75" customHeight="1">
      <c r="A528" s="2"/>
      <c r="B528" s="2"/>
      <c r="C528" s="2"/>
    </row>
    <row r="529" ht="15.75" customHeight="1">
      <c r="A529" s="2"/>
      <c r="B529" s="2"/>
      <c r="C529" s="2"/>
    </row>
    <row r="530" ht="15.75" customHeight="1">
      <c r="A530" s="2"/>
      <c r="B530" s="2"/>
      <c r="C530" s="2"/>
    </row>
    <row r="531" ht="15.75" customHeight="1">
      <c r="A531" s="2"/>
      <c r="B531" s="2"/>
      <c r="C531" s="2"/>
    </row>
    <row r="532" ht="15.75" customHeight="1">
      <c r="A532" s="2"/>
      <c r="B532" s="2"/>
      <c r="C532" s="2"/>
    </row>
    <row r="533" ht="15.75" customHeight="1">
      <c r="A533" s="2"/>
      <c r="B533" s="2"/>
      <c r="C533" s="2"/>
    </row>
    <row r="534" ht="15.75" customHeight="1">
      <c r="A534" s="2"/>
      <c r="B534" s="2"/>
      <c r="C534" s="2"/>
    </row>
    <row r="535" ht="15.75" customHeight="1">
      <c r="A535" s="2"/>
      <c r="B535" s="2"/>
      <c r="C535" s="2"/>
    </row>
    <row r="536" ht="15.75" customHeight="1">
      <c r="A536" s="2"/>
      <c r="B536" s="2"/>
      <c r="C536" s="2"/>
    </row>
    <row r="537" ht="15.75" customHeight="1">
      <c r="A537" s="2"/>
      <c r="B537" s="2"/>
      <c r="C537" s="2"/>
    </row>
    <row r="538" ht="15.75" customHeight="1">
      <c r="A538" s="2"/>
      <c r="B538" s="2"/>
      <c r="C538" s="2"/>
    </row>
    <row r="539" ht="15.75" customHeight="1">
      <c r="A539" s="2"/>
      <c r="B539" s="2"/>
      <c r="C539" s="2"/>
    </row>
    <row r="540" ht="15.75" customHeight="1">
      <c r="A540" s="2"/>
      <c r="B540" s="2"/>
      <c r="C540" s="2"/>
    </row>
    <row r="541" ht="15.75" customHeight="1">
      <c r="A541" s="2"/>
      <c r="B541" s="2"/>
      <c r="C541" s="2"/>
    </row>
    <row r="542" ht="15.75" customHeight="1">
      <c r="A542" s="2"/>
      <c r="B542" s="2"/>
      <c r="C542" s="2"/>
    </row>
    <row r="543" ht="15.75" customHeight="1">
      <c r="A543" s="2"/>
      <c r="B543" s="2"/>
      <c r="C543" s="2"/>
    </row>
    <row r="544" ht="15.75" customHeight="1">
      <c r="A544" s="2"/>
      <c r="B544" s="2"/>
      <c r="C544" s="2"/>
    </row>
    <row r="545" ht="15.75" customHeight="1">
      <c r="A545" s="2"/>
      <c r="B545" s="2"/>
      <c r="C545" s="2"/>
    </row>
    <row r="546" ht="15.75" customHeight="1">
      <c r="A546" s="2"/>
      <c r="B546" s="2"/>
      <c r="C546" s="2"/>
    </row>
    <row r="547" ht="15.75" customHeight="1">
      <c r="A547" s="2"/>
      <c r="B547" s="2"/>
      <c r="C547" s="2"/>
    </row>
    <row r="548" ht="15.75" customHeight="1">
      <c r="A548" s="2"/>
      <c r="B548" s="2"/>
      <c r="C548" s="2"/>
    </row>
    <row r="549" ht="15.75" customHeight="1">
      <c r="A549" s="2"/>
      <c r="B549" s="2"/>
      <c r="C549" s="2"/>
    </row>
    <row r="550" ht="15.75" customHeight="1">
      <c r="A550" s="2"/>
      <c r="B550" s="2"/>
      <c r="C550" s="2"/>
    </row>
    <row r="551" ht="15.75" customHeight="1">
      <c r="A551" s="2"/>
      <c r="B551" s="2"/>
      <c r="C551" s="2"/>
    </row>
    <row r="552" ht="15.75" customHeight="1">
      <c r="A552" s="2"/>
      <c r="B552" s="2"/>
      <c r="C552" s="2"/>
    </row>
    <row r="553" ht="15.75" customHeight="1">
      <c r="A553" s="2"/>
      <c r="B553" s="2"/>
      <c r="C553" s="2"/>
    </row>
    <row r="554" ht="15.75" customHeight="1">
      <c r="A554" s="2"/>
      <c r="B554" s="2"/>
      <c r="C554" s="2"/>
    </row>
    <row r="555" ht="15.75" customHeight="1">
      <c r="A555" s="2"/>
      <c r="B555" s="2"/>
      <c r="C555" s="2"/>
    </row>
    <row r="556" ht="15.75" customHeight="1">
      <c r="A556" s="2"/>
      <c r="B556" s="2"/>
      <c r="C556" s="2"/>
    </row>
    <row r="557" ht="15.75" customHeight="1">
      <c r="A557" s="2"/>
      <c r="B557" s="2"/>
      <c r="C557" s="2"/>
    </row>
    <row r="558" ht="15.75" customHeight="1">
      <c r="A558" s="2"/>
      <c r="B558" s="2"/>
      <c r="C558" s="2"/>
    </row>
    <row r="559" ht="15.75" customHeight="1">
      <c r="A559" s="2"/>
      <c r="B559" s="2"/>
      <c r="C559" s="2"/>
    </row>
    <row r="560" ht="15.75" customHeight="1">
      <c r="A560" s="2"/>
      <c r="B560" s="2"/>
      <c r="C560" s="2"/>
    </row>
    <row r="561" ht="15.75" customHeight="1">
      <c r="A561" s="2"/>
      <c r="B561" s="2"/>
      <c r="C561" s="2"/>
    </row>
    <row r="562" ht="15.75" customHeight="1">
      <c r="A562" s="2"/>
      <c r="B562" s="2"/>
      <c r="C562" s="2"/>
    </row>
    <row r="563" ht="15.75" customHeight="1">
      <c r="A563" s="2"/>
      <c r="B563" s="2"/>
      <c r="C563" s="2"/>
    </row>
    <row r="564" ht="15.75" customHeight="1">
      <c r="A564" s="2"/>
      <c r="B564" s="2"/>
      <c r="C564" s="2"/>
    </row>
    <row r="565" ht="15.75" customHeight="1">
      <c r="A565" s="2"/>
      <c r="B565" s="2"/>
      <c r="C565" s="2"/>
    </row>
    <row r="566" ht="15.75" customHeight="1">
      <c r="A566" s="2"/>
      <c r="B566" s="2"/>
      <c r="C566" s="2"/>
    </row>
    <row r="567" ht="15.75" customHeight="1">
      <c r="A567" s="2"/>
      <c r="B567" s="2"/>
      <c r="C567" s="2"/>
    </row>
    <row r="568" ht="15.75" customHeight="1">
      <c r="A568" s="2"/>
      <c r="B568" s="2"/>
      <c r="C568" s="2"/>
    </row>
    <row r="569" ht="15.75" customHeight="1">
      <c r="A569" s="2"/>
      <c r="B569" s="2"/>
      <c r="C569" s="2"/>
    </row>
    <row r="570" ht="15.75" customHeight="1">
      <c r="A570" s="2"/>
      <c r="B570" s="2"/>
      <c r="C570" s="2"/>
    </row>
    <row r="571" ht="15.75" customHeight="1">
      <c r="A571" s="2"/>
      <c r="B571" s="2"/>
      <c r="C571" s="2"/>
    </row>
    <row r="572" ht="15.75" customHeight="1">
      <c r="A572" s="2"/>
      <c r="B572" s="2"/>
      <c r="C572" s="2"/>
    </row>
    <row r="573" ht="15.75" customHeight="1">
      <c r="A573" s="2"/>
      <c r="B573" s="2"/>
      <c r="C573" s="2"/>
    </row>
    <row r="574" ht="15.75" customHeight="1">
      <c r="A574" s="2"/>
      <c r="B574" s="2"/>
      <c r="C574" s="2"/>
    </row>
    <row r="575" ht="15.75" customHeight="1">
      <c r="A575" s="2"/>
      <c r="B575" s="2"/>
      <c r="C575" s="2"/>
    </row>
    <row r="576" ht="15.75" customHeight="1">
      <c r="A576" s="2"/>
      <c r="B576" s="2"/>
      <c r="C576" s="2"/>
    </row>
    <row r="577" ht="15.75" customHeight="1">
      <c r="A577" s="2"/>
      <c r="B577" s="2"/>
      <c r="C577" s="2"/>
    </row>
    <row r="578" ht="15.75" customHeight="1">
      <c r="A578" s="2"/>
      <c r="B578" s="2"/>
      <c r="C578" s="2"/>
    </row>
    <row r="579" ht="15.75" customHeight="1">
      <c r="A579" s="2"/>
      <c r="B579" s="2"/>
      <c r="C579" s="2"/>
    </row>
    <row r="580" ht="15.75" customHeight="1">
      <c r="A580" s="2"/>
      <c r="B580" s="2"/>
      <c r="C580" s="2"/>
    </row>
    <row r="581" ht="15.75" customHeight="1">
      <c r="A581" s="2"/>
      <c r="B581" s="2"/>
      <c r="C581" s="2"/>
    </row>
    <row r="582" ht="15.75" customHeight="1">
      <c r="A582" s="2"/>
      <c r="B582" s="2"/>
      <c r="C582" s="2"/>
    </row>
    <row r="583" ht="15.75" customHeight="1">
      <c r="A583" s="2"/>
      <c r="B583" s="2"/>
      <c r="C583" s="2"/>
    </row>
    <row r="584" ht="15.75" customHeight="1">
      <c r="A584" s="2"/>
      <c r="B584" s="2"/>
      <c r="C584" s="2"/>
    </row>
    <row r="585" ht="15.75" customHeight="1">
      <c r="A585" s="2"/>
      <c r="B585" s="2"/>
      <c r="C585" s="2"/>
    </row>
    <row r="586" ht="15.75" customHeight="1">
      <c r="A586" s="2"/>
      <c r="B586" s="2"/>
      <c r="C586" s="2"/>
    </row>
    <row r="587" ht="15.75" customHeight="1">
      <c r="A587" s="2"/>
      <c r="B587" s="2"/>
      <c r="C587" s="2"/>
    </row>
    <row r="588" ht="15.75" customHeight="1">
      <c r="A588" s="2"/>
      <c r="B588" s="2"/>
      <c r="C588" s="2"/>
    </row>
    <row r="589" ht="15.75" customHeight="1">
      <c r="A589" s="2"/>
      <c r="B589" s="2"/>
      <c r="C589" s="2"/>
    </row>
    <row r="590" ht="15.75" customHeight="1">
      <c r="A590" s="2"/>
      <c r="B590" s="2"/>
      <c r="C590" s="2"/>
    </row>
    <row r="591" ht="15.75" customHeight="1">
      <c r="A591" s="2"/>
      <c r="B591" s="2"/>
      <c r="C591" s="2"/>
    </row>
    <row r="592" ht="15.75" customHeight="1">
      <c r="A592" s="2"/>
      <c r="B592" s="2"/>
      <c r="C592" s="2"/>
    </row>
    <row r="593" ht="15.75" customHeight="1">
      <c r="A593" s="2"/>
      <c r="B593" s="2"/>
      <c r="C593" s="2"/>
    </row>
    <row r="594" ht="15.75" customHeight="1">
      <c r="A594" s="2"/>
      <c r="B594" s="2"/>
      <c r="C594" s="2"/>
    </row>
    <row r="595" ht="15.75" customHeight="1">
      <c r="A595" s="2"/>
      <c r="B595" s="2"/>
      <c r="C595" s="2"/>
    </row>
    <row r="596" ht="15.75" customHeight="1">
      <c r="A596" s="2"/>
      <c r="B596" s="2"/>
      <c r="C596" s="2"/>
    </row>
    <row r="597" ht="15.75" customHeight="1">
      <c r="A597" s="2"/>
      <c r="B597" s="2"/>
      <c r="C597" s="2"/>
    </row>
    <row r="598" ht="15.75" customHeight="1">
      <c r="A598" s="2"/>
      <c r="B598" s="2"/>
      <c r="C598" s="2"/>
    </row>
    <row r="599" ht="15.75" customHeight="1">
      <c r="A599" s="2"/>
      <c r="B599" s="2"/>
      <c r="C599" s="2"/>
    </row>
    <row r="600" ht="15.75" customHeight="1">
      <c r="A600" s="2"/>
      <c r="B600" s="2"/>
      <c r="C600" s="2"/>
    </row>
    <row r="601" ht="15.75" customHeight="1">
      <c r="A601" s="2"/>
      <c r="B601" s="2"/>
      <c r="C601" s="2"/>
    </row>
    <row r="602" ht="15.75" customHeight="1">
      <c r="A602" s="2"/>
      <c r="B602" s="2"/>
      <c r="C602" s="2"/>
    </row>
    <row r="603" ht="15.75" customHeight="1">
      <c r="A603" s="2"/>
      <c r="B603" s="2"/>
      <c r="C603" s="2"/>
    </row>
    <row r="604" ht="15.75" customHeight="1">
      <c r="A604" s="2"/>
      <c r="B604" s="2"/>
      <c r="C604" s="2"/>
    </row>
    <row r="605" ht="15.75" customHeight="1">
      <c r="A605" s="2"/>
      <c r="B605" s="2"/>
      <c r="C605" s="2"/>
    </row>
    <row r="606" ht="15.75" customHeight="1">
      <c r="A606" s="2"/>
      <c r="B606" s="2"/>
      <c r="C606" s="2"/>
    </row>
    <row r="607" ht="15.75" customHeight="1">
      <c r="A607" s="2"/>
      <c r="B607" s="2"/>
      <c r="C607" s="2"/>
    </row>
    <row r="608" ht="15.75" customHeight="1">
      <c r="A608" s="2"/>
      <c r="B608" s="2"/>
      <c r="C608" s="2"/>
    </row>
    <row r="609" ht="15.75" customHeight="1">
      <c r="A609" s="2"/>
      <c r="B609" s="2"/>
      <c r="C609" s="2"/>
    </row>
    <row r="610" ht="15.75" customHeight="1">
      <c r="A610" s="2"/>
      <c r="B610" s="2"/>
      <c r="C610" s="2"/>
    </row>
    <row r="611" ht="15.75" customHeight="1">
      <c r="A611" s="2"/>
      <c r="B611" s="2"/>
      <c r="C611" s="2"/>
    </row>
    <row r="612" ht="15.75" customHeight="1">
      <c r="A612" s="2"/>
      <c r="B612" s="2"/>
      <c r="C612" s="2"/>
    </row>
    <row r="613" ht="15.75" customHeight="1">
      <c r="A613" s="2"/>
      <c r="B613" s="2"/>
      <c r="C613" s="2"/>
    </row>
    <row r="614" ht="15.75" customHeight="1">
      <c r="A614" s="2"/>
      <c r="B614" s="2"/>
      <c r="C614" s="2"/>
    </row>
    <row r="615" ht="15.75" customHeight="1">
      <c r="A615" s="2"/>
      <c r="B615" s="2"/>
      <c r="C615" s="2"/>
    </row>
    <row r="616" ht="15.75" customHeight="1">
      <c r="A616" s="2"/>
      <c r="B616" s="2"/>
      <c r="C616" s="2"/>
    </row>
    <row r="617" ht="15.75" customHeight="1">
      <c r="A617" s="2"/>
      <c r="B617" s="2"/>
      <c r="C617" s="2"/>
    </row>
    <row r="618" ht="15.75" customHeight="1">
      <c r="A618" s="2"/>
      <c r="B618" s="2"/>
      <c r="C618" s="2"/>
    </row>
    <row r="619" ht="15.75" customHeight="1">
      <c r="A619" s="2"/>
      <c r="B619" s="2"/>
      <c r="C619" s="2"/>
    </row>
    <row r="620" ht="15.75" customHeight="1">
      <c r="A620" s="2"/>
      <c r="B620" s="2"/>
      <c r="C620" s="2"/>
    </row>
    <row r="621" ht="15.75" customHeight="1">
      <c r="A621" s="2"/>
      <c r="B621" s="2"/>
      <c r="C621" s="2"/>
    </row>
    <row r="622" ht="15.75" customHeight="1">
      <c r="A622" s="2"/>
      <c r="B622" s="2"/>
      <c r="C622" s="2"/>
    </row>
    <row r="623" ht="15.75" customHeight="1">
      <c r="A623" s="2"/>
      <c r="B623" s="2"/>
      <c r="C623" s="2"/>
    </row>
    <row r="624" ht="15.75" customHeight="1">
      <c r="A624" s="2"/>
      <c r="B624" s="2"/>
      <c r="C624" s="2"/>
    </row>
    <row r="625" ht="15.75" customHeight="1">
      <c r="A625" s="2"/>
      <c r="B625" s="2"/>
      <c r="C625" s="2"/>
    </row>
    <row r="626" ht="15.75" customHeight="1">
      <c r="A626" s="2"/>
      <c r="B626" s="2"/>
      <c r="C626" s="2"/>
    </row>
    <row r="627" ht="15.75" customHeight="1">
      <c r="A627" s="2"/>
      <c r="B627" s="2"/>
      <c r="C627" s="2"/>
    </row>
    <row r="628" ht="15.75" customHeight="1">
      <c r="A628" s="2"/>
      <c r="B628" s="2"/>
      <c r="C628" s="2"/>
    </row>
    <row r="629" ht="15.75" customHeight="1">
      <c r="A629" s="2"/>
      <c r="B629" s="2"/>
      <c r="C629" s="2"/>
    </row>
    <row r="630" ht="15.75" customHeight="1">
      <c r="A630" s="2"/>
      <c r="B630" s="2"/>
      <c r="C630" s="2"/>
    </row>
    <row r="631" ht="15.75" customHeight="1">
      <c r="A631" s="2"/>
      <c r="B631" s="2"/>
      <c r="C631" s="2"/>
    </row>
    <row r="632" ht="15.75" customHeight="1">
      <c r="A632" s="2"/>
      <c r="B632" s="2"/>
      <c r="C632" s="2"/>
    </row>
    <row r="633" ht="15.75" customHeight="1">
      <c r="A633" s="2"/>
      <c r="B633" s="2"/>
      <c r="C633" s="2"/>
    </row>
    <row r="634" ht="15.75" customHeight="1">
      <c r="A634" s="2"/>
      <c r="B634" s="2"/>
      <c r="C634" s="2"/>
    </row>
    <row r="635" ht="15.75" customHeight="1">
      <c r="A635" s="2"/>
      <c r="B635" s="2"/>
      <c r="C635" s="2"/>
    </row>
    <row r="636" ht="15.75" customHeight="1">
      <c r="A636" s="2"/>
      <c r="B636" s="2"/>
      <c r="C636" s="2"/>
    </row>
    <row r="637" ht="15.75" customHeight="1">
      <c r="A637" s="2"/>
      <c r="B637" s="2"/>
      <c r="C637" s="2"/>
    </row>
    <row r="638" ht="15.75" customHeight="1">
      <c r="A638" s="2"/>
      <c r="B638" s="2"/>
      <c r="C638" s="2"/>
    </row>
    <row r="639" ht="15.75" customHeight="1">
      <c r="A639" s="2"/>
      <c r="B639" s="2"/>
      <c r="C639" s="2"/>
    </row>
    <row r="640" ht="15.75" customHeight="1">
      <c r="A640" s="2"/>
      <c r="B640" s="2"/>
      <c r="C640" s="2"/>
    </row>
    <row r="641" ht="15.75" customHeight="1">
      <c r="A641" s="2"/>
      <c r="B641" s="2"/>
      <c r="C641" s="2"/>
    </row>
    <row r="642" ht="15.75" customHeight="1">
      <c r="A642" s="2"/>
      <c r="B642" s="2"/>
      <c r="C642" s="2"/>
    </row>
    <row r="643" ht="15.75" customHeight="1">
      <c r="A643" s="2"/>
      <c r="B643" s="2"/>
      <c r="C643" s="2"/>
    </row>
    <row r="644" ht="15.75" customHeight="1">
      <c r="A644" s="2"/>
      <c r="B644" s="2"/>
      <c r="C644" s="2"/>
    </row>
    <row r="645" ht="15.75" customHeight="1">
      <c r="A645" s="2"/>
      <c r="B645" s="2"/>
      <c r="C645" s="2"/>
    </row>
    <row r="646" ht="15.75" customHeight="1">
      <c r="A646" s="2"/>
      <c r="B646" s="2"/>
      <c r="C646" s="2"/>
    </row>
    <row r="647" ht="15.75" customHeight="1">
      <c r="A647" s="2"/>
      <c r="B647" s="2"/>
      <c r="C647" s="2"/>
    </row>
    <row r="648" ht="15.75" customHeight="1">
      <c r="A648" s="2"/>
      <c r="B648" s="2"/>
      <c r="C648" s="2"/>
    </row>
    <row r="649" ht="15.75" customHeight="1">
      <c r="A649" s="2"/>
      <c r="B649" s="2"/>
      <c r="C649" s="2"/>
    </row>
    <row r="650" ht="15.75" customHeight="1">
      <c r="A650" s="2"/>
      <c r="B650" s="2"/>
      <c r="C650" s="2"/>
    </row>
    <row r="651" ht="15.75" customHeight="1">
      <c r="A651" s="2"/>
      <c r="B651" s="2"/>
      <c r="C651" s="2"/>
    </row>
    <row r="652" ht="15.75" customHeight="1">
      <c r="A652" s="2"/>
      <c r="B652" s="2"/>
      <c r="C652" s="2"/>
    </row>
    <row r="653" ht="15.75" customHeight="1">
      <c r="A653" s="2"/>
      <c r="B653" s="2"/>
      <c r="C653" s="2"/>
    </row>
    <row r="654" ht="15.75" customHeight="1">
      <c r="A654" s="2"/>
      <c r="B654" s="2"/>
      <c r="C654" s="2"/>
    </row>
    <row r="655" ht="15.75" customHeight="1">
      <c r="A655" s="2"/>
      <c r="B655" s="2"/>
      <c r="C655" s="2"/>
    </row>
    <row r="656" ht="15.75" customHeight="1">
      <c r="A656" s="2"/>
      <c r="B656" s="2"/>
      <c r="C656" s="2"/>
    </row>
    <row r="657" ht="15.75" customHeight="1">
      <c r="A657" s="2"/>
      <c r="B657" s="2"/>
      <c r="C657" s="2"/>
    </row>
    <row r="658" ht="15.75" customHeight="1">
      <c r="A658" s="2"/>
      <c r="B658" s="2"/>
      <c r="C658" s="2"/>
    </row>
    <row r="659" ht="15.75" customHeight="1">
      <c r="A659" s="2"/>
      <c r="B659" s="2"/>
      <c r="C659" s="2"/>
    </row>
    <row r="660" ht="15.75" customHeight="1">
      <c r="A660" s="2"/>
      <c r="B660" s="2"/>
      <c r="C660" s="2"/>
    </row>
    <row r="661" ht="15.75" customHeight="1">
      <c r="A661" s="2"/>
      <c r="B661" s="2"/>
      <c r="C661" s="2"/>
    </row>
    <row r="662" ht="15.75" customHeight="1">
      <c r="A662" s="2"/>
      <c r="B662" s="2"/>
      <c r="C662" s="2"/>
    </row>
    <row r="663" ht="15.75" customHeight="1">
      <c r="A663" s="2"/>
      <c r="B663" s="2"/>
      <c r="C663" s="2"/>
    </row>
    <row r="664" ht="15.75" customHeight="1">
      <c r="A664" s="2"/>
      <c r="B664" s="2"/>
      <c r="C664" s="2"/>
    </row>
    <row r="665" ht="15.75" customHeight="1">
      <c r="A665" s="2"/>
      <c r="B665" s="2"/>
      <c r="C665" s="2"/>
    </row>
    <row r="666" ht="15.75" customHeight="1">
      <c r="A666" s="2"/>
      <c r="B666" s="2"/>
      <c r="C666" s="2"/>
    </row>
    <row r="667" ht="15.75" customHeight="1">
      <c r="A667" s="2"/>
      <c r="B667" s="2"/>
      <c r="C667" s="2"/>
    </row>
    <row r="668" ht="15.75" customHeight="1">
      <c r="A668" s="2"/>
      <c r="B668" s="2"/>
      <c r="C668" s="2"/>
    </row>
    <row r="669" ht="15.75" customHeight="1">
      <c r="A669" s="2"/>
      <c r="B669" s="2"/>
      <c r="C669" s="2"/>
    </row>
    <row r="670" ht="15.75" customHeight="1">
      <c r="A670" s="2"/>
      <c r="B670" s="2"/>
      <c r="C670" s="2"/>
    </row>
    <row r="671" ht="15.75" customHeight="1">
      <c r="A671" s="2"/>
      <c r="B671" s="2"/>
      <c r="C671" s="2"/>
    </row>
    <row r="672" ht="15.75" customHeight="1">
      <c r="A672" s="2"/>
      <c r="B672" s="2"/>
      <c r="C672" s="2"/>
    </row>
    <row r="673" ht="15.75" customHeight="1">
      <c r="A673" s="2"/>
      <c r="B673" s="2"/>
      <c r="C673" s="2"/>
    </row>
    <row r="674" ht="15.75" customHeight="1">
      <c r="A674" s="2"/>
      <c r="B674" s="2"/>
      <c r="C674" s="2"/>
    </row>
    <row r="675" ht="15.75" customHeight="1">
      <c r="A675" s="2"/>
      <c r="B675" s="2"/>
      <c r="C675" s="2"/>
    </row>
    <row r="676" ht="15.75" customHeight="1">
      <c r="A676" s="2"/>
      <c r="B676" s="2"/>
      <c r="C676" s="2"/>
    </row>
    <row r="677" ht="15.75" customHeight="1">
      <c r="A677" s="2"/>
      <c r="B677" s="2"/>
      <c r="C677" s="2"/>
    </row>
    <row r="678" ht="15.75" customHeight="1">
      <c r="A678" s="2"/>
      <c r="B678" s="2"/>
      <c r="C678" s="2"/>
    </row>
    <row r="679" ht="15.75" customHeight="1">
      <c r="A679" s="2"/>
      <c r="B679" s="2"/>
      <c r="C679" s="2"/>
    </row>
    <row r="680" ht="15.75" customHeight="1">
      <c r="A680" s="2"/>
      <c r="B680" s="2"/>
      <c r="C680" s="2"/>
    </row>
    <row r="681" ht="15.75" customHeight="1">
      <c r="A681" s="2"/>
      <c r="B681" s="2"/>
      <c r="C681" s="2"/>
    </row>
    <row r="682" ht="15.75" customHeight="1">
      <c r="A682" s="2"/>
      <c r="B682" s="2"/>
      <c r="C682" s="2"/>
    </row>
    <row r="683" ht="15.75" customHeight="1">
      <c r="A683" s="2"/>
      <c r="B683" s="2"/>
      <c r="C683" s="2"/>
    </row>
    <row r="684" ht="15.75" customHeight="1">
      <c r="A684" s="2"/>
      <c r="B684" s="2"/>
      <c r="C684" s="2"/>
    </row>
    <row r="685" ht="15.75" customHeight="1">
      <c r="A685" s="2"/>
      <c r="B685" s="2"/>
      <c r="C685" s="2"/>
    </row>
    <row r="686" ht="15.75" customHeight="1">
      <c r="A686" s="2"/>
      <c r="B686" s="2"/>
      <c r="C686" s="2"/>
    </row>
    <row r="687" ht="15.75" customHeight="1">
      <c r="A687" s="2"/>
      <c r="B687" s="2"/>
      <c r="C687" s="2"/>
    </row>
    <row r="688" ht="15.75" customHeight="1">
      <c r="A688" s="2"/>
      <c r="B688" s="2"/>
      <c r="C688" s="2"/>
    </row>
    <row r="689" ht="15.75" customHeight="1">
      <c r="A689" s="2"/>
      <c r="B689" s="2"/>
      <c r="C689" s="2"/>
    </row>
    <row r="690" ht="15.75" customHeight="1">
      <c r="A690" s="2"/>
      <c r="B690" s="2"/>
      <c r="C690" s="2"/>
    </row>
    <row r="691" ht="15.75" customHeight="1">
      <c r="A691" s="2"/>
      <c r="B691" s="2"/>
      <c r="C691" s="2"/>
    </row>
    <row r="692" ht="15.75" customHeight="1">
      <c r="A692" s="2"/>
      <c r="B692" s="2"/>
      <c r="C692" s="2"/>
    </row>
    <row r="693" ht="15.75" customHeight="1">
      <c r="A693" s="2"/>
      <c r="B693" s="2"/>
      <c r="C693" s="2"/>
    </row>
    <row r="694" ht="15.75" customHeight="1">
      <c r="A694" s="2"/>
      <c r="B694" s="2"/>
      <c r="C694" s="2"/>
    </row>
    <row r="695" ht="15.75" customHeight="1">
      <c r="A695" s="2"/>
      <c r="B695" s="2"/>
      <c r="C695" s="2"/>
    </row>
    <row r="696" ht="15.75" customHeight="1">
      <c r="A696" s="2"/>
      <c r="B696" s="2"/>
      <c r="C696" s="2"/>
    </row>
    <row r="697" ht="15.75" customHeight="1">
      <c r="A697" s="2"/>
      <c r="B697" s="2"/>
      <c r="C697" s="2"/>
    </row>
    <row r="698" ht="15.75" customHeight="1">
      <c r="A698" s="2"/>
      <c r="B698" s="2"/>
      <c r="C698" s="2"/>
    </row>
    <row r="699" ht="15.75" customHeight="1">
      <c r="A699" s="2"/>
      <c r="B699" s="2"/>
      <c r="C699" s="2"/>
    </row>
    <row r="700" ht="15.75" customHeight="1">
      <c r="A700" s="2"/>
      <c r="B700" s="2"/>
      <c r="C700" s="2"/>
    </row>
    <row r="701" ht="15.75" customHeight="1">
      <c r="A701" s="2"/>
      <c r="B701" s="2"/>
      <c r="C701" s="2"/>
    </row>
    <row r="702" ht="15.75" customHeight="1">
      <c r="A702" s="2"/>
      <c r="B702" s="2"/>
      <c r="C702" s="2"/>
    </row>
    <row r="703" ht="15.75" customHeight="1">
      <c r="A703" s="2"/>
      <c r="B703" s="2"/>
      <c r="C703" s="2"/>
    </row>
    <row r="704" ht="15.75" customHeight="1">
      <c r="A704" s="2"/>
      <c r="B704" s="2"/>
      <c r="C704" s="2"/>
    </row>
    <row r="705" ht="15.75" customHeight="1">
      <c r="A705" s="2"/>
      <c r="B705" s="2"/>
      <c r="C705" s="2"/>
    </row>
    <row r="706" ht="15.75" customHeight="1">
      <c r="A706" s="2"/>
      <c r="B706" s="2"/>
      <c r="C706" s="2"/>
    </row>
    <row r="707" ht="15.75" customHeight="1">
      <c r="A707" s="2"/>
      <c r="B707" s="2"/>
      <c r="C707" s="2"/>
    </row>
    <row r="708" ht="15.75" customHeight="1">
      <c r="A708" s="2"/>
      <c r="B708" s="2"/>
      <c r="C708" s="2"/>
    </row>
    <row r="709" ht="15.75" customHeight="1">
      <c r="A709" s="2"/>
      <c r="B709" s="2"/>
      <c r="C709" s="2"/>
    </row>
    <row r="710" ht="15.75" customHeight="1">
      <c r="A710" s="2"/>
      <c r="B710" s="2"/>
      <c r="C710" s="2"/>
    </row>
    <row r="711" ht="15.75" customHeight="1">
      <c r="A711" s="2"/>
      <c r="B711" s="2"/>
      <c r="C711" s="2"/>
    </row>
    <row r="712" ht="15.75" customHeight="1">
      <c r="A712" s="2"/>
      <c r="B712" s="2"/>
      <c r="C712" s="2"/>
    </row>
    <row r="713" ht="15.75" customHeight="1">
      <c r="A713" s="2"/>
      <c r="B713" s="2"/>
      <c r="C713" s="2"/>
    </row>
    <row r="714" ht="15.75" customHeight="1">
      <c r="A714" s="2"/>
      <c r="B714" s="2"/>
      <c r="C714" s="2"/>
    </row>
    <row r="715" ht="15.75" customHeight="1">
      <c r="A715" s="2"/>
      <c r="B715" s="2"/>
      <c r="C715" s="2"/>
    </row>
    <row r="716" ht="15.75" customHeight="1">
      <c r="A716" s="2"/>
      <c r="B716" s="2"/>
      <c r="C716" s="2"/>
    </row>
    <row r="717" ht="15.75" customHeight="1">
      <c r="A717" s="2"/>
      <c r="B717" s="2"/>
      <c r="C717" s="2"/>
    </row>
    <row r="718" ht="15.75" customHeight="1">
      <c r="A718" s="2"/>
      <c r="B718" s="2"/>
      <c r="C718" s="2"/>
    </row>
    <row r="719" ht="15.75" customHeight="1">
      <c r="A719" s="2"/>
      <c r="B719" s="2"/>
      <c r="C719" s="2"/>
    </row>
    <row r="720" ht="15.75" customHeight="1">
      <c r="A720" s="2"/>
      <c r="B720" s="2"/>
      <c r="C720" s="2"/>
    </row>
    <row r="721" ht="15.75" customHeight="1">
      <c r="A721" s="2"/>
      <c r="B721" s="2"/>
      <c r="C721" s="2"/>
    </row>
    <row r="722" ht="15.75" customHeight="1">
      <c r="A722" s="2"/>
      <c r="B722" s="2"/>
      <c r="C722" s="2"/>
    </row>
    <row r="723" ht="15.75" customHeight="1">
      <c r="A723" s="2"/>
      <c r="B723" s="2"/>
      <c r="C723" s="2"/>
    </row>
    <row r="724" ht="15.75" customHeight="1">
      <c r="A724" s="2"/>
      <c r="B724" s="2"/>
      <c r="C724" s="2"/>
    </row>
    <row r="725" ht="15.75" customHeight="1">
      <c r="A725" s="2"/>
      <c r="B725" s="2"/>
      <c r="C725" s="2"/>
    </row>
    <row r="726" ht="15.75" customHeight="1">
      <c r="A726" s="2"/>
      <c r="B726" s="2"/>
      <c r="C726" s="2"/>
    </row>
    <row r="727" ht="15.75" customHeight="1">
      <c r="A727" s="2"/>
      <c r="B727" s="2"/>
      <c r="C727" s="2"/>
    </row>
    <row r="728" ht="15.75" customHeight="1">
      <c r="A728" s="2"/>
      <c r="B728" s="2"/>
      <c r="C728" s="2"/>
    </row>
    <row r="729" ht="15.75" customHeight="1">
      <c r="A729" s="2"/>
      <c r="B729" s="2"/>
      <c r="C729" s="2"/>
    </row>
    <row r="730" ht="15.75" customHeight="1">
      <c r="A730" s="2"/>
      <c r="B730" s="2"/>
      <c r="C730" s="2"/>
    </row>
    <row r="731" ht="15.75" customHeight="1">
      <c r="A731" s="2"/>
      <c r="B731" s="2"/>
      <c r="C731" s="2"/>
    </row>
    <row r="732" ht="15.75" customHeight="1">
      <c r="A732" s="2"/>
      <c r="B732" s="2"/>
      <c r="C732" s="2"/>
    </row>
    <row r="733" ht="15.75" customHeight="1">
      <c r="A733" s="2"/>
      <c r="B733" s="2"/>
      <c r="C733" s="2"/>
    </row>
    <row r="734" ht="15.75" customHeight="1">
      <c r="A734" s="2"/>
      <c r="B734" s="2"/>
      <c r="C734" s="2"/>
    </row>
    <row r="735" ht="15.75" customHeight="1">
      <c r="A735" s="2"/>
      <c r="B735" s="2"/>
      <c r="C735" s="2"/>
    </row>
    <row r="736" ht="15.75" customHeight="1">
      <c r="A736" s="2"/>
      <c r="B736" s="2"/>
      <c r="C736" s="2"/>
    </row>
    <row r="737" ht="15.75" customHeight="1">
      <c r="A737" s="2"/>
      <c r="B737" s="2"/>
      <c r="C737" s="2"/>
    </row>
    <row r="738" ht="15.75" customHeight="1">
      <c r="A738" s="2"/>
      <c r="B738" s="2"/>
      <c r="C738" s="2"/>
    </row>
    <row r="739" ht="15.75" customHeight="1">
      <c r="A739" s="2"/>
      <c r="B739" s="2"/>
      <c r="C739" s="2"/>
    </row>
    <row r="740" ht="15.75" customHeight="1">
      <c r="A740" s="2"/>
      <c r="B740" s="2"/>
      <c r="C740" s="2"/>
    </row>
    <row r="741" ht="15.75" customHeight="1">
      <c r="A741" s="2"/>
      <c r="B741" s="2"/>
      <c r="C741" s="2"/>
    </row>
    <row r="742" ht="15.75" customHeight="1">
      <c r="A742" s="2"/>
      <c r="B742" s="2"/>
      <c r="C742" s="2"/>
    </row>
    <row r="743" ht="15.75" customHeight="1">
      <c r="A743" s="2"/>
      <c r="B743" s="2"/>
      <c r="C743" s="2"/>
    </row>
    <row r="744" ht="15.75" customHeight="1">
      <c r="A744" s="2"/>
      <c r="B744" s="2"/>
      <c r="C744" s="2"/>
    </row>
    <row r="745" ht="15.75" customHeight="1">
      <c r="A745" s="2"/>
      <c r="B745" s="2"/>
      <c r="C745" s="2"/>
    </row>
    <row r="746" ht="15.75" customHeight="1">
      <c r="A746" s="2"/>
      <c r="B746" s="2"/>
      <c r="C746" s="2"/>
    </row>
    <row r="747" ht="15.75" customHeight="1">
      <c r="A747" s="2"/>
      <c r="B747" s="2"/>
      <c r="C747" s="2"/>
    </row>
    <row r="748" ht="15.75" customHeight="1">
      <c r="A748" s="2"/>
      <c r="B748" s="2"/>
      <c r="C748" s="2"/>
    </row>
    <row r="749" ht="15.75" customHeight="1">
      <c r="A749" s="2"/>
      <c r="B749" s="2"/>
      <c r="C749" s="2"/>
    </row>
    <row r="750" ht="15.75" customHeight="1">
      <c r="A750" s="2"/>
      <c r="B750" s="2"/>
      <c r="C750" s="2"/>
    </row>
    <row r="751" ht="15.75" customHeight="1">
      <c r="A751" s="2"/>
      <c r="B751" s="2"/>
      <c r="C751" s="2"/>
    </row>
    <row r="752" ht="15.75" customHeight="1">
      <c r="A752" s="2"/>
      <c r="B752" s="2"/>
      <c r="C752" s="2"/>
    </row>
    <row r="753" ht="15.75" customHeight="1">
      <c r="A753" s="2"/>
      <c r="B753" s="2"/>
      <c r="C753" s="2"/>
    </row>
    <row r="754" ht="15.75" customHeight="1">
      <c r="A754" s="2"/>
      <c r="B754" s="2"/>
      <c r="C754" s="2"/>
    </row>
    <row r="755" ht="15.75" customHeight="1">
      <c r="A755" s="2"/>
      <c r="B755" s="2"/>
      <c r="C755" s="2"/>
    </row>
    <row r="756" ht="15.75" customHeight="1">
      <c r="A756" s="2"/>
      <c r="B756" s="2"/>
      <c r="C756" s="2"/>
    </row>
    <row r="757" ht="15.75" customHeight="1">
      <c r="A757" s="2"/>
      <c r="B757" s="2"/>
      <c r="C757" s="2"/>
    </row>
    <row r="758" ht="15.75" customHeight="1">
      <c r="A758" s="2"/>
      <c r="B758" s="2"/>
      <c r="C758" s="2"/>
    </row>
    <row r="759" ht="15.75" customHeight="1">
      <c r="A759" s="2"/>
      <c r="B759" s="2"/>
      <c r="C759" s="2"/>
    </row>
    <row r="760" ht="15.75" customHeight="1">
      <c r="A760" s="2"/>
      <c r="B760" s="2"/>
      <c r="C760" s="2"/>
    </row>
    <row r="761" ht="15.75" customHeight="1">
      <c r="A761" s="2"/>
      <c r="B761" s="2"/>
      <c r="C761" s="2"/>
    </row>
    <row r="762" ht="15.75" customHeight="1">
      <c r="A762" s="2"/>
      <c r="B762" s="2"/>
      <c r="C762" s="2"/>
    </row>
    <row r="763" ht="15.75" customHeight="1">
      <c r="A763" s="2"/>
      <c r="B763" s="2"/>
      <c r="C763" s="2"/>
    </row>
    <row r="764" ht="15.75" customHeight="1">
      <c r="A764" s="2"/>
      <c r="B764" s="2"/>
      <c r="C764" s="2"/>
    </row>
    <row r="765" ht="15.75" customHeight="1">
      <c r="A765" s="2"/>
      <c r="B765" s="2"/>
      <c r="C765" s="2"/>
    </row>
    <row r="766" ht="15.75" customHeight="1">
      <c r="A766" s="2"/>
      <c r="B766" s="2"/>
      <c r="C766" s="2"/>
    </row>
    <row r="767" ht="15.75" customHeight="1">
      <c r="A767" s="2"/>
      <c r="B767" s="2"/>
      <c r="C767" s="2"/>
    </row>
    <row r="768" ht="15.75" customHeight="1">
      <c r="A768" s="2"/>
      <c r="B768" s="2"/>
      <c r="C768" s="2"/>
    </row>
    <row r="769" ht="15.75" customHeight="1">
      <c r="A769" s="2"/>
      <c r="B769" s="2"/>
      <c r="C769" s="2"/>
    </row>
    <row r="770" ht="15.75" customHeight="1">
      <c r="A770" s="2"/>
      <c r="B770" s="2"/>
      <c r="C770" s="2"/>
    </row>
    <row r="771" ht="15.75" customHeight="1">
      <c r="A771" s="2"/>
      <c r="B771" s="2"/>
      <c r="C771" s="2"/>
    </row>
    <row r="772" ht="15.75" customHeight="1">
      <c r="A772" s="2"/>
      <c r="B772" s="2"/>
      <c r="C772" s="2"/>
    </row>
    <row r="773" ht="15.75" customHeight="1">
      <c r="A773" s="2"/>
      <c r="B773" s="2"/>
      <c r="C773" s="2"/>
    </row>
    <row r="774" ht="15.75" customHeight="1">
      <c r="A774" s="2"/>
      <c r="B774" s="2"/>
      <c r="C774" s="2"/>
    </row>
    <row r="775" ht="15.75" customHeight="1">
      <c r="A775" s="2"/>
      <c r="B775" s="2"/>
      <c r="C775" s="2"/>
    </row>
    <row r="776" ht="15.75" customHeight="1">
      <c r="A776" s="2"/>
      <c r="B776" s="2"/>
      <c r="C776" s="2"/>
    </row>
    <row r="777" ht="15.75" customHeight="1">
      <c r="A777" s="2"/>
      <c r="B777" s="2"/>
      <c r="C777" s="2"/>
    </row>
    <row r="778" ht="15.75" customHeight="1">
      <c r="A778" s="2"/>
      <c r="B778" s="2"/>
      <c r="C778" s="2"/>
    </row>
    <row r="779" ht="15.75" customHeight="1">
      <c r="A779" s="2"/>
      <c r="B779" s="2"/>
      <c r="C779" s="2"/>
    </row>
    <row r="780" ht="15.75" customHeight="1">
      <c r="A780" s="2"/>
      <c r="B780" s="2"/>
      <c r="C780" s="2"/>
    </row>
    <row r="781" ht="15.75" customHeight="1">
      <c r="A781" s="2"/>
      <c r="B781" s="2"/>
      <c r="C781" s="2"/>
    </row>
    <row r="782" ht="15.75" customHeight="1">
      <c r="A782" s="2"/>
      <c r="B782" s="2"/>
      <c r="C782" s="2"/>
    </row>
    <row r="783" ht="15.75" customHeight="1">
      <c r="A783" s="2"/>
      <c r="B783" s="2"/>
      <c r="C783" s="2"/>
    </row>
    <row r="784" ht="15.75" customHeight="1">
      <c r="A784" s="2"/>
      <c r="B784" s="2"/>
      <c r="C784" s="2"/>
    </row>
    <row r="785" ht="15.75" customHeight="1">
      <c r="A785" s="2"/>
      <c r="B785" s="2"/>
      <c r="C785" s="2"/>
    </row>
    <row r="786" ht="15.75" customHeight="1">
      <c r="A786" s="2"/>
      <c r="B786" s="2"/>
      <c r="C786" s="2"/>
    </row>
    <row r="787" ht="15.75" customHeight="1">
      <c r="A787" s="2"/>
      <c r="B787" s="2"/>
      <c r="C787" s="2"/>
    </row>
    <row r="788" ht="15.75" customHeight="1">
      <c r="A788" s="2"/>
      <c r="B788" s="2"/>
      <c r="C788" s="2"/>
    </row>
    <row r="789" ht="15.75" customHeight="1">
      <c r="A789" s="2"/>
      <c r="B789" s="2"/>
      <c r="C789" s="2"/>
    </row>
    <row r="790" ht="15.75" customHeight="1">
      <c r="A790" s="2"/>
      <c r="B790" s="2"/>
      <c r="C790" s="2"/>
    </row>
    <row r="791" ht="15.75" customHeight="1">
      <c r="A791" s="2"/>
      <c r="B791" s="2"/>
      <c r="C791" s="2"/>
    </row>
    <row r="792" ht="15.75" customHeight="1">
      <c r="A792" s="2"/>
      <c r="B792" s="2"/>
      <c r="C792" s="2"/>
    </row>
    <row r="793" ht="15.75" customHeight="1">
      <c r="A793" s="2"/>
      <c r="B793" s="2"/>
      <c r="C793" s="2"/>
    </row>
    <row r="794" ht="15.75" customHeight="1">
      <c r="A794" s="2"/>
      <c r="B794" s="2"/>
      <c r="C794" s="2"/>
    </row>
    <row r="795" ht="15.75" customHeight="1">
      <c r="A795" s="2"/>
      <c r="B795" s="2"/>
      <c r="C795" s="2"/>
    </row>
    <row r="796" ht="15.75" customHeight="1">
      <c r="A796" s="2"/>
      <c r="B796" s="2"/>
      <c r="C796" s="2"/>
    </row>
    <row r="797" ht="15.75" customHeight="1">
      <c r="A797" s="2"/>
      <c r="B797" s="2"/>
      <c r="C797" s="2"/>
    </row>
    <row r="798" ht="15.75" customHeight="1">
      <c r="A798" s="2"/>
      <c r="B798" s="2"/>
      <c r="C798" s="2"/>
    </row>
    <row r="799" ht="15.75" customHeight="1">
      <c r="A799" s="2"/>
      <c r="B799" s="2"/>
      <c r="C799" s="2"/>
    </row>
    <row r="800" ht="15.75" customHeight="1">
      <c r="A800" s="2"/>
      <c r="B800" s="2"/>
      <c r="C800" s="2"/>
    </row>
    <row r="801" ht="15.75" customHeight="1">
      <c r="A801" s="2"/>
      <c r="B801" s="2"/>
      <c r="C801" s="2"/>
    </row>
    <row r="802" ht="15.75" customHeight="1">
      <c r="A802" s="2"/>
      <c r="B802" s="2"/>
      <c r="C802" s="2"/>
    </row>
    <row r="803" ht="15.75" customHeight="1">
      <c r="A803" s="2"/>
      <c r="B803" s="2"/>
      <c r="C803" s="2"/>
    </row>
    <row r="804" ht="15.75" customHeight="1">
      <c r="A804" s="2"/>
      <c r="B804" s="2"/>
      <c r="C804" s="2"/>
    </row>
    <row r="805" ht="15.75" customHeight="1">
      <c r="A805" s="2"/>
      <c r="B805" s="2"/>
      <c r="C805" s="2"/>
    </row>
    <row r="806" ht="15.75" customHeight="1">
      <c r="A806" s="2"/>
      <c r="B806" s="2"/>
      <c r="C806" s="2"/>
    </row>
    <row r="807" ht="15.75" customHeight="1">
      <c r="A807" s="2"/>
      <c r="B807" s="2"/>
      <c r="C807" s="2"/>
    </row>
    <row r="808" ht="15.75" customHeight="1">
      <c r="A808" s="2"/>
      <c r="B808" s="2"/>
      <c r="C808" s="2"/>
    </row>
    <row r="809" ht="15.75" customHeight="1">
      <c r="A809" s="2"/>
      <c r="B809" s="2"/>
      <c r="C809" s="2"/>
    </row>
    <row r="810" ht="15.75" customHeight="1">
      <c r="A810" s="2"/>
      <c r="B810" s="2"/>
      <c r="C810" s="2"/>
    </row>
    <row r="811" ht="15.75" customHeight="1">
      <c r="A811" s="2"/>
      <c r="B811" s="2"/>
      <c r="C811" s="2"/>
    </row>
    <row r="812" ht="15.75" customHeight="1">
      <c r="A812" s="2"/>
      <c r="B812" s="2"/>
      <c r="C812" s="2"/>
    </row>
    <row r="813" ht="15.75" customHeight="1">
      <c r="A813" s="2"/>
      <c r="B813" s="2"/>
      <c r="C813" s="2"/>
    </row>
    <row r="814" ht="15.75" customHeight="1">
      <c r="A814" s="2"/>
      <c r="B814" s="2"/>
      <c r="C814" s="2"/>
    </row>
    <row r="815" ht="15.75" customHeight="1">
      <c r="A815" s="2"/>
      <c r="B815" s="2"/>
      <c r="C815" s="2"/>
    </row>
    <row r="816" ht="15.75" customHeight="1">
      <c r="A816" s="2"/>
      <c r="B816" s="2"/>
      <c r="C816" s="2"/>
    </row>
    <row r="817" ht="15.75" customHeight="1">
      <c r="A817" s="2"/>
      <c r="B817" s="2"/>
      <c r="C817" s="2"/>
    </row>
    <row r="818" ht="15.75" customHeight="1">
      <c r="A818" s="2"/>
      <c r="B818" s="2"/>
      <c r="C818" s="2"/>
    </row>
    <row r="819" ht="15.75" customHeight="1">
      <c r="A819" s="2"/>
      <c r="B819" s="2"/>
      <c r="C819" s="2"/>
    </row>
    <row r="820" ht="15.75" customHeight="1">
      <c r="A820" s="2"/>
      <c r="B820" s="2"/>
      <c r="C820" s="2"/>
    </row>
    <row r="821" ht="15.75" customHeight="1">
      <c r="A821" s="2"/>
      <c r="B821" s="2"/>
      <c r="C821" s="2"/>
    </row>
    <row r="822" ht="15.75" customHeight="1">
      <c r="A822" s="2"/>
      <c r="B822" s="2"/>
      <c r="C822" s="2"/>
    </row>
    <row r="823" ht="15.75" customHeight="1">
      <c r="A823" s="2"/>
      <c r="B823" s="2"/>
      <c r="C823" s="2"/>
    </row>
    <row r="824" ht="15.75" customHeight="1">
      <c r="A824" s="2"/>
      <c r="B824" s="2"/>
      <c r="C824" s="2"/>
    </row>
    <row r="825" ht="15.75" customHeight="1">
      <c r="A825" s="2"/>
      <c r="B825" s="2"/>
      <c r="C825" s="2"/>
    </row>
    <row r="826" ht="15.75" customHeight="1">
      <c r="A826" s="2"/>
      <c r="B826" s="2"/>
      <c r="C826" s="2"/>
    </row>
    <row r="827" ht="15.75" customHeight="1">
      <c r="A827" s="2"/>
      <c r="B827" s="2"/>
      <c r="C827" s="2"/>
    </row>
    <row r="828" ht="15.75" customHeight="1">
      <c r="A828" s="2"/>
      <c r="B828" s="2"/>
      <c r="C828" s="2"/>
    </row>
    <row r="829" ht="15.75" customHeight="1">
      <c r="A829" s="2"/>
      <c r="B829" s="2"/>
      <c r="C829" s="2"/>
    </row>
    <row r="830" ht="15.75" customHeight="1">
      <c r="A830" s="2"/>
      <c r="B830" s="2"/>
      <c r="C830" s="2"/>
    </row>
    <row r="831" ht="15.75" customHeight="1">
      <c r="A831" s="2"/>
      <c r="B831" s="2"/>
      <c r="C831" s="2"/>
    </row>
    <row r="832" ht="15.75" customHeight="1">
      <c r="A832" s="2"/>
      <c r="B832" s="2"/>
      <c r="C832" s="2"/>
    </row>
    <row r="833" ht="15.75" customHeight="1">
      <c r="A833" s="2"/>
      <c r="B833" s="2"/>
      <c r="C833" s="2"/>
    </row>
    <row r="834" ht="15.75" customHeight="1">
      <c r="A834" s="2"/>
      <c r="B834" s="2"/>
      <c r="C834" s="2"/>
    </row>
    <row r="835" ht="15.75" customHeight="1">
      <c r="A835" s="2"/>
      <c r="B835" s="2"/>
      <c r="C835" s="2"/>
    </row>
    <row r="836" ht="15.75" customHeight="1">
      <c r="A836" s="2"/>
      <c r="B836" s="2"/>
      <c r="C836" s="2"/>
    </row>
    <row r="837" ht="15.75" customHeight="1">
      <c r="A837" s="2"/>
      <c r="B837" s="2"/>
      <c r="C837" s="2"/>
    </row>
    <row r="838" ht="15.75" customHeight="1">
      <c r="A838" s="2"/>
      <c r="B838" s="2"/>
      <c r="C838" s="2"/>
    </row>
    <row r="839" ht="15.75" customHeight="1">
      <c r="A839" s="2"/>
      <c r="B839" s="2"/>
      <c r="C839" s="2"/>
    </row>
    <row r="840" ht="15.75" customHeight="1">
      <c r="A840" s="2"/>
      <c r="B840" s="2"/>
      <c r="C840" s="2"/>
    </row>
    <row r="841" ht="15.75" customHeight="1">
      <c r="A841" s="2"/>
      <c r="B841" s="2"/>
      <c r="C841" s="2"/>
    </row>
    <row r="842" ht="15.75" customHeight="1">
      <c r="A842" s="2"/>
      <c r="B842" s="2"/>
      <c r="C842" s="2"/>
    </row>
    <row r="843" ht="15.75" customHeight="1">
      <c r="A843" s="2"/>
      <c r="B843" s="2"/>
      <c r="C843" s="2"/>
    </row>
    <row r="844" ht="15.75" customHeight="1">
      <c r="A844" s="2"/>
      <c r="B844" s="2"/>
      <c r="C844" s="2"/>
    </row>
    <row r="845" ht="15.75" customHeight="1">
      <c r="A845" s="2"/>
      <c r="B845" s="2"/>
      <c r="C845" s="2"/>
    </row>
    <row r="846" ht="15.75" customHeight="1">
      <c r="A846" s="2"/>
      <c r="B846" s="2"/>
      <c r="C846" s="2"/>
    </row>
    <row r="847" ht="15.75" customHeight="1">
      <c r="A847" s="2"/>
      <c r="B847" s="2"/>
      <c r="C847" s="2"/>
    </row>
    <row r="848" ht="15.75" customHeight="1">
      <c r="A848" s="2"/>
      <c r="B848" s="2"/>
      <c r="C848" s="2"/>
    </row>
    <row r="849" ht="15.75" customHeight="1">
      <c r="A849" s="2"/>
      <c r="B849" s="2"/>
      <c r="C849" s="2"/>
    </row>
    <row r="850" ht="15.75" customHeight="1">
      <c r="A850" s="2"/>
      <c r="B850" s="2"/>
      <c r="C850" s="2"/>
    </row>
    <row r="851" ht="15.75" customHeight="1">
      <c r="A851" s="2"/>
      <c r="B851" s="2"/>
      <c r="C851" s="2"/>
    </row>
    <row r="852" ht="15.75" customHeight="1">
      <c r="A852" s="2"/>
      <c r="B852" s="2"/>
      <c r="C852" s="2"/>
    </row>
    <row r="853" ht="15.75" customHeight="1">
      <c r="A853" s="2"/>
      <c r="B853" s="2"/>
      <c r="C853" s="2"/>
    </row>
    <row r="854" ht="15.75" customHeight="1">
      <c r="A854" s="2"/>
      <c r="B854" s="2"/>
      <c r="C854" s="2"/>
    </row>
    <row r="855" ht="15.75" customHeight="1">
      <c r="A855" s="2"/>
      <c r="B855" s="2"/>
      <c r="C855" s="2"/>
    </row>
    <row r="856" ht="15.75" customHeight="1">
      <c r="A856" s="2"/>
      <c r="B856" s="2"/>
      <c r="C856" s="2"/>
    </row>
    <row r="857" ht="15.75" customHeight="1">
      <c r="A857" s="2"/>
      <c r="B857" s="2"/>
      <c r="C857" s="2"/>
    </row>
    <row r="858" ht="15.75" customHeight="1">
      <c r="A858" s="2"/>
      <c r="B858" s="2"/>
      <c r="C858" s="2"/>
    </row>
    <row r="859" ht="15.75" customHeight="1">
      <c r="A859" s="2"/>
      <c r="B859" s="2"/>
      <c r="C859" s="2"/>
    </row>
    <row r="860" ht="15.75" customHeight="1">
      <c r="A860" s="2"/>
      <c r="B860" s="2"/>
      <c r="C860" s="2"/>
    </row>
    <row r="861" ht="15.75" customHeight="1">
      <c r="A861" s="2"/>
      <c r="B861" s="2"/>
      <c r="C861" s="2"/>
    </row>
    <row r="862" ht="15.75" customHeight="1">
      <c r="A862" s="2"/>
      <c r="B862" s="2"/>
      <c r="C862" s="2"/>
    </row>
    <row r="863" ht="15.75" customHeight="1">
      <c r="A863" s="2"/>
      <c r="B863" s="2"/>
      <c r="C863" s="2"/>
    </row>
    <row r="864" ht="15.75" customHeight="1">
      <c r="A864" s="2"/>
      <c r="B864" s="2"/>
      <c r="C864" s="2"/>
    </row>
    <row r="865" ht="15.75" customHeight="1">
      <c r="A865" s="2"/>
      <c r="B865" s="2"/>
      <c r="C865" s="2"/>
    </row>
    <row r="866" ht="15.75" customHeight="1">
      <c r="A866" s="2"/>
      <c r="B866" s="2"/>
      <c r="C866" s="2"/>
    </row>
    <row r="867" ht="15.75" customHeight="1">
      <c r="A867" s="2"/>
      <c r="B867" s="2"/>
      <c r="C867" s="2"/>
    </row>
    <row r="868" ht="15.75" customHeight="1">
      <c r="A868" s="2"/>
      <c r="B868" s="2"/>
      <c r="C868" s="2"/>
    </row>
    <row r="869" ht="15.75" customHeight="1">
      <c r="A869" s="2"/>
      <c r="B869" s="2"/>
      <c r="C869" s="2"/>
    </row>
    <row r="870" ht="15.75" customHeight="1">
      <c r="A870" s="2"/>
      <c r="B870" s="2"/>
      <c r="C870" s="2"/>
    </row>
    <row r="871" ht="15.75" customHeight="1">
      <c r="A871" s="2"/>
      <c r="B871" s="2"/>
      <c r="C871" s="2"/>
    </row>
    <row r="872" ht="15.75" customHeight="1">
      <c r="A872" s="2"/>
      <c r="B872" s="2"/>
      <c r="C872" s="2"/>
    </row>
    <row r="873" ht="15.75" customHeight="1">
      <c r="A873" s="2"/>
      <c r="B873" s="2"/>
      <c r="C873" s="2"/>
    </row>
    <row r="874" ht="15.75" customHeight="1">
      <c r="A874" s="2"/>
      <c r="B874" s="2"/>
      <c r="C874" s="2"/>
    </row>
    <row r="875" ht="15.75" customHeight="1">
      <c r="A875" s="2"/>
      <c r="B875" s="2"/>
      <c r="C875" s="2"/>
    </row>
    <row r="876" ht="15.75" customHeight="1">
      <c r="A876" s="2"/>
      <c r="B876" s="2"/>
      <c r="C876" s="2"/>
    </row>
    <row r="877" ht="15.75" customHeight="1">
      <c r="A877" s="2"/>
      <c r="B877" s="2"/>
      <c r="C877" s="2"/>
    </row>
    <row r="878" ht="15.75" customHeight="1">
      <c r="A878" s="2"/>
      <c r="B878" s="2"/>
      <c r="C878" s="2"/>
    </row>
    <row r="879" ht="15.75" customHeight="1">
      <c r="A879" s="2"/>
      <c r="B879" s="2"/>
      <c r="C879" s="2"/>
    </row>
    <row r="880" ht="15.75" customHeight="1">
      <c r="A880" s="2"/>
      <c r="B880" s="2"/>
      <c r="C880" s="2"/>
    </row>
    <row r="881" ht="15.75" customHeight="1">
      <c r="A881" s="2"/>
      <c r="B881" s="2"/>
      <c r="C881" s="2"/>
    </row>
    <row r="882" ht="15.75" customHeight="1">
      <c r="A882" s="2"/>
      <c r="B882" s="2"/>
      <c r="C882" s="2"/>
    </row>
    <row r="883" ht="15.75" customHeight="1">
      <c r="A883" s="2"/>
      <c r="B883" s="2"/>
      <c r="C883" s="2"/>
    </row>
    <row r="884" ht="15.75" customHeight="1">
      <c r="A884" s="2"/>
      <c r="B884" s="2"/>
      <c r="C884" s="2"/>
    </row>
    <row r="885" ht="15.75" customHeight="1">
      <c r="A885" s="2"/>
      <c r="B885" s="2"/>
      <c r="C885" s="2"/>
    </row>
    <row r="886" ht="15.75" customHeight="1">
      <c r="A886" s="2"/>
      <c r="B886" s="2"/>
      <c r="C886" s="2"/>
    </row>
    <row r="887" ht="15.75" customHeight="1">
      <c r="A887" s="2"/>
      <c r="B887" s="2"/>
      <c r="C887" s="2"/>
    </row>
    <row r="888" ht="15.75" customHeight="1">
      <c r="A888" s="2"/>
      <c r="B888" s="2"/>
      <c r="C888" s="2"/>
    </row>
    <row r="889" ht="15.75" customHeight="1">
      <c r="A889" s="2"/>
      <c r="B889" s="2"/>
      <c r="C889" s="2"/>
    </row>
    <row r="890" ht="15.75" customHeight="1">
      <c r="A890" s="2"/>
      <c r="B890" s="2"/>
      <c r="C890" s="2"/>
    </row>
    <row r="891" ht="15.75" customHeight="1">
      <c r="A891" s="2"/>
      <c r="B891" s="2"/>
      <c r="C891" s="2"/>
    </row>
    <row r="892" ht="15.75" customHeight="1">
      <c r="A892" s="2"/>
      <c r="B892" s="2"/>
      <c r="C892" s="2"/>
    </row>
    <row r="893" ht="15.75" customHeight="1">
      <c r="A893" s="2"/>
      <c r="B893" s="2"/>
      <c r="C893" s="2"/>
    </row>
    <row r="894" ht="15.75" customHeight="1">
      <c r="A894" s="2"/>
      <c r="B894" s="2"/>
      <c r="C894" s="2"/>
    </row>
    <row r="895" ht="15.75" customHeight="1">
      <c r="A895" s="2"/>
      <c r="B895" s="2"/>
      <c r="C895" s="2"/>
    </row>
    <row r="896" ht="15.75" customHeight="1">
      <c r="A896" s="2"/>
      <c r="B896" s="2"/>
      <c r="C896" s="2"/>
    </row>
    <row r="897" ht="15.75" customHeight="1">
      <c r="A897" s="2"/>
      <c r="B897" s="2"/>
      <c r="C897" s="2"/>
    </row>
    <row r="898" ht="15.75" customHeight="1">
      <c r="A898" s="2"/>
      <c r="B898" s="2"/>
      <c r="C898" s="2"/>
    </row>
    <row r="899" ht="15.75" customHeight="1">
      <c r="A899" s="2"/>
      <c r="B899" s="2"/>
      <c r="C899" s="2"/>
    </row>
    <row r="900" ht="15.75" customHeight="1">
      <c r="A900" s="2"/>
      <c r="B900" s="2"/>
      <c r="C900" s="2"/>
    </row>
    <row r="901" ht="15.75" customHeight="1">
      <c r="A901" s="2"/>
      <c r="B901" s="2"/>
      <c r="C901" s="2"/>
    </row>
    <row r="902" ht="15.75" customHeight="1">
      <c r="A902" s="2"/>
      <c r="B902" s="2"/>
      <c r="C902" s="2"/>
    </row>
    <row r="903" ht="15.75" customHeight="1">
      <c r="A903" s="2"/>
      <c r="B903" s="2"/>
      <c r="C903" s="2"/>
    </row>
    <row r="904" ht="15.75" customHeight="1">
      <c r="A904" s="2"/>
      <c r="B904" s="2"/>
      <c r="C904" s="2"/>
    </row>
    <row r="905" ht="15.75" customHeight="1">
      <c r="A905" s="2"/>
      <c r="B905" s="2"/>
      <c r="C905" s="2"/>
    </row>
    <row r="906" ht="15.75" customHeight="1">
      <c r="A906" s="2"/>
      <c r="B906" s="2"/>
      <c r="C906" s="2"/>
    </row>
    <row r="907" ht="15.75" customHeight="1">
      <c r="A907" s="2"/>
      <c r="B907" s="2"/>
      <c r="C907" s="2"/>
    </row>
    <row r="908" ht="15.75" customHeight="1">
      <c r="A908" s="2"/>
      <c r="B908" s="2"/>
      <c r="C908" s="2"/>
    </row>
    <row r="909" ht="15.75" customHeight="1">
      <c r="A909" s="2"/>
      <c r="B909" s="2"/>
      <c r="C909" s="2"/>
    </row>
    <row r="910" ht="15.75" customHeight="1">
      <c r="A910" s="2"/>
      <c r="B910" s="2"/>
      <c r="C910" s="2"/>
    </row>
    <row r="911" ht="15.75" customHeight="1">
      <c r="A911" s="2"/>
      <c r="B911" s="2"/>
      <c r="C911" s="2"/>
    </row>
    <row r="912" ht="15.75" customHeight="1">
      <c r="A912" s="2"/>
      <c r="B912" s="2"/>
      <c r="C912" s="2"/>
    </row>
    <row r="913" ht="15.75" customHeight="1">
      <c r="A913" s="2"/>
      <c r="B913" s="2"/>
      <c r="C913" s="2"/>
    </row>
    <row r="914" ht="15.75" customHeight="1">
      <c r="A914" s="2"/>
      <c r="B914" s="2"/>
      <c r="C914" s="2"/>
    </row>
    <row r="915" ht="15.75" customHeight="1">
      <c r="A915" s="2"/>
      <c r="B915" s="2"/>
      <c r="C915" s="2"/>
    </row>
    <row r="916" ht="15.75" customHeight="1">
      <c r="A916" s="2"/>
      <c r="B916" s="2"/>
      <c r="C916" s="2"/>
    </row>
    <row r="917" ht="15.75" customHeight="1">
      <c r="A917" s="2"/>
      <c r="B917" s="2"/>
      <c r="C917" s="2"/>
    </row>
    <row r="918" ht="15.75" customHeight="1">
      <c r="A918" s="2"/>
      <c r="B918" s="2"/>
      <c r="C918" s="2"/>
    </row>
    <row r="919" ht="15.75" customHeight="1">
      <c r="A919" s="2"/>
      <c r="B919" s="2"/>
      <c r="C919" s="2"/>
    </row>
    <row r="920" ht="15.75" customHeight="1">
      <c r="A920" s="2"/>
      <c r="B920" s="2"/>
      <c r="C920" s="2"/>
    </row>
    <row r="921" ht="15.75" customHeight="1">
      <c r="A921" s="2"/>
      <c r="B921" s="2"/>
      <c r="C921" s="2"/>
    </row>
    <row r="922" ht="15.75" customHeight="1">
      <c r="A922" s="2"/>
      <c r="B922" s="2"/>
      <c r="C922" s="2"/>
    </row>
    <row r="923" ht="15.75" customHeight="1">
      <c r="A923" s="2"/>
      <c r="B923" s="2"/>
      <c r="C923" s="2"/>
    </row>
    <row r="924" ht="15.75" customHeight="1">
      <c r="A924" s="2"/>
      <c r="B924" s="2"/>
      <c r="C924" s="2"/>
    </row>
    <row r="925" ht="15.75" customHeight="1">
      <c r="A925" s="2"/>
      <c r="B925" s="2"/>
      <c r="C925" s="2"/>
    </row>
    <row r="926" ht="15.75" customHeight="1">
      <c r="A926" s="2"/>
      <c r="B926" s="2"/>
      <c r="C926" s="2"/>
    </row>
    <row r="927" ht="15.75" customHeight="1">
      <c r="A927" s="2"/>
      <c r="B927" s="2"/>
      <c r="C927" s="2"/>
    </row>
    <row r="928" ht="15.75" customHeight="1">
      <c r="A928" s="2"/>
      <c r="B928" s="2"/>
      <c r="C928" s="2"/>
    </row>
    <row r="929" ht="15.75" customHeight="1">
      <c r="A929" s="2"/>
      <c r="B929" s="2"/>
      <c r="C929" s="2"/>
    </row>
    <row r="930" ht="15.75" customHeight="1">
      <c r="A930" s="2"/>
      <c r="B930" s="2"/>
      <c r="C930" s="2"/>
    </row>
    <row r="931" ht="15.75" customHeight="1">
      <c r="A931" s="2"/>
      <c r="B931" s="2"/>
      <c r="C931" s="2"/>
    </row>
    <row r="932" ht="15.75" customHeight="1">
      <c r="A932" s="2"/>
      <c r="B932" s="2"/>
      <c r="C932" s="2"/>
    </row>
    <row r="933" ht="15.75" customHeight="1">
      <c r="A933" s="2"/>
      <c r="B933" s="2"/>
      <c r="C933" s="2"/>
    </row>
    <row r="934" ht="15.75" customHeight="1">
      <c r="A934" s="2"/>
      <c r="B934" s="2"/>
      <c r="C934" s="2"/>
    </row>
    <row r="935" ht="15.75" customHeight="1">
      <c r="A935" s="2"/>
      <c r="B935" s="2"/>
      <c r="C935" s="2"/>
    </row>
    <row r="936" ht="15.75" customHeight="1">
      <c r="A936" s="2"/>
      <c r="B936" s="2"/>
      <c r="C936" s="2"/>
    </row>
    <row r="937" ht="15.75" customHeight="1">
      <c r="A937" s="2"/>
      <c r="B937" s="2"/>
      <c r="C937" s="2"/>
    </row>
    <row r="938" ht="15.75" customHeight="1">
      <c r="A938" s="2"/>
      <c r="B938" s="2"/>
      <c r="C938" s="2"/>
    </row>
    <row r="939" ht="15.75" customHeight="1">
      <c r="A939" s="2"/>
      <c r="B939" s="2"/>
      <c r="C939" s="2"/>
    </row>
    <row r="940" ht="15.75" customHeight="1">
      <c r="A940" s="2"/>
      <c r="B940" s="2"/>
      <c r="C940" s="2"/>
    </row>
    <row r="941" ht="15.75" customHeight="1">
      <c r="A941" s="2"/>
      <c r="B941" s="2"/>
      <c r="C941" s="2"/>
    </row>
    <row r="942" ht="15.75" customHeight="1">
      <c r="A942" s="2"/>
      <c r="B942" s="2"/>
      <c r="C942" s="2"/>
    </row>
    <row r="943" ht="15.75" customHeight="1">
      <c r="A943" s="2"/>
      <c r="B943" s="2"/>
      <c r="C943" s="2"/>
    </row>
    <row r="944" ht="15.75" customHeight="1">
      <c r="A944" s="2"/>
      <c r="B944" s="2"/>
      <c r="C944" s="2"/>
    </row>
    <row r="945" ht="15.75" customHeight="1">
      <c r="A945" s="2"/>
      <c r="B945" s="2"/>
      <c r="C945" s="2"/>
    </row>
    <row r="946" ht="15.75" customHeight="1">
      <c r="A946" s="2"/>
      <c r="B946" s="2"/>
      <c r="C946" s="2"/>
    </row>
    <row r="947" ht="15.75" customHeight="1">
      <c r="A947" s="2"/>
      <c r="B947" s="2"/>
      <c r="C947" s="2"/>
    </row>
    <row r="948" ht="15.75" customHeight="1">
      <c r="A948" s="2"/>
      <c r="B948" s="2"/>
      <c r="C948" s="2"/>
    </row>
    <row r="949" ht="15.75" customHeight="1">
      <c r="A949" s="2"/>
      <c r="B949" s="2"/>
      <c r="C949" s="2"/>
    </row>
    <row r="950" ht="15.75" customHeight="1">
      <c r="A950" s="2"/>
      <c r="B950" s="2"/>
      <c r="C950" s="2"/>
    </row>
    <row r="951" ht="15.75" customHeight="1">
      <c r="A951" s="2"/>
      <c r="B951" s="2"/>
      <c r="C951" s="2"/>
    </row>
    <row r="952" ht="15.75" customHeight="1">
      <c r="A952" s="2"/>
      <c r="B952" s="2"/>
      <c r="C952" s="2"/>
    </row>
    <row r="953" ht="15.75" customHeight="1">
      <c r="A953" s="2"/>
      <c r="B953" s="2"/>
      <c r="C953" s="2"/>
    </row>
    <row r="954" ht="15.75" customHeight="1">
      <c r="A954" s="2"/>
      <c r="B954" s="2"/>
      <c r="C954" s="2"/>
    </row>
    <row r="955" ht="15.75" customHeight="1">
      <c r="A955" s="2"/>
      <c r="B955" s="2"/>
      <c r="C955" s="2"/>
    </row>
    <row r="956" ht="15.75" customHeight="1">
      <c r="A956" s="2"/>
      <c r="B956" s="2"/>
      <c r="C956" s="2"/>
    </row>
    <row r="957" ht="15.75" customHeight="1">
      <c r="A957" s="2"/>
      <c r="B957" s="2"/>
      <c r="C957" s="2"/>
    </row>
    <row r="958" ht="15.75" customHeight="1">
      <c r="A958" s="2"/>
      <c r="B958" s="2"/>
      <c r="C958" s="2"/>
    </row>
    <row r="959" ht="15.75" customHeight="1">
      <c r="A959" s="2"/>
      <c r="B959" s="2"/>
      <c r="C959" s="2"/>
    </row>
    <row r="960" ht="15.75" customHeight="1">
      <c r="A960" s="2"/>
      <c r="B960" s="2"/>
      <c r="C960" s="2"/>
    </row>
    <row r="961" ht="15.75" customHeight="1">
      <c r="A961" s="2"/>
      <c r="B961" s="2"/>
      <c r="C961" s="2"/>
    </row>
    <row r="962" ht="15.75" customHeight="1">
      <c r="A962" s="2"/>
      <c r="B962" s="2"/>
      <c r="C962" s="2"/>
    </row>
    <row r="963" ht="15.75" customHeight="1">
      <c r="A963" s="2"/>
      <c r="B963" s="2"/>
      <c r="C963" s="2"/>
    </row>
    <row r="964" ht="15.75" customHeight="1">
      <c r="A964" s="2"/>
      <c r="B964" s="2"/>
      <c r="C964" s="2"/>
    </row>
    <row r="965" ht="15.75" customHeight="1">
      <c r="A965" s="2"/>
      <c r="B965" s="2"/>
      <c r="C965" s="2"/>
    </row>
    <row r="966" ht="15.75" customHeight="1">
      <c r="A966" s="2"/>
      <c r="B966" s="2"/>
      <c r="C966" s="2"/>
    </row>
    <row r="967" ht="15.75" customHeight="1">
      <c r="A967" s="2"/>
      <c r="B967" s="2"/>
      <c r="C967" s="2"/>
    </row>
    <row r="968" ht="15.75" customHeight="1">
      <c r="A968" s="2"/>
      <c r="B968" s="2"/>
      <c r="C968" s="2"/>
    </row>
    <row r="969" ht="15.75" customHeight="1">
      <c r="A969" s="2"/>
      <c r="B969" s="2"/>
      <c r="C969" s="2"/>
    </row>
    <row r="970" ht="15.75" customHeight="1">
      <c r="A970" s="2"/>
      <c r="B970" s="2"/>
      <c r="C970" s="2"/>
    </row>
    <row r="971" ht="15.75" customHeight="1">
      <c r="A971" s="2"/>
      <c r="B971" s="2"/>
      <c r="C971" s="2"/>
    </row>
    <row r="972" ht="15.75" customHeight="1">
      <c r="A972" s="2"/>
      <c r="B972" s="2"/>
      <c r="C972" s="2"/>
    </row>
    <row r="973" ht="15.75" customHeight="1">
      <c r="A973" s="2"/>
      <c r="B973" s="2"/>
      <c r="C973" s="2"/>
    </row>
    <row r="974" ht="15.75" customHeight="1">
      <c r="A974" s="2"/>
      <c r="B974" s="2"/>
      <c r="C974" s="2"/>
    </row>
    <row r="975" ht="15.75" customHeight="1">
      <c r="A975" s="2"/>
      <c r="B975" s="2"/>
      <c r="C975" s="2"/>
    </row>
    <row r="976" ht="15.75" customHeight="1">
      <c r="A976" s="2"/>
      <c r="B976" s="2"/>
      <c r="C976" s="2"/>
    </row>
    <row r="977" ht="15.75" customHeight="1">
      <c r="A977" s="2"/>
      <c r="B977" s="2"/>
      <c r="C977" s="2"/>
    </row>
    <row r="978" ht="15.75" customHeight="1">
      <c r="A978" s="2"/>
      <c r="B978" s="2"/>
      <c r="C978" s="2"/>
    </row>
    <row r="979" ht="15.75" customHeight="1">
      <c r="A979" s="2"/>
      <c r="B979" s="2"/>
      <c r="C979" s="2"/>
    </row>
    <row r="980" ht="15.75" customHeight="1">
      <c r="A980" s="2"/>
      <c r="B980" s="2"/>
      <c r="C980" s="2"/>
    </row>
    <row r="981" ht="15.75" customHeight="1">
      <c r="A981" s="2"/>
      <c r="B981" s="2"/>
      <c r="C981" s="2"/>
    </row>
    <row r="982" ht="15.75" customHeight="1">
      <c r="A982" s="2"/>
      <c r="B982" s="2"/>
      <c r="C982" s="2"/>
    </row>
    <row r="983" ht="15.75" customHeight="1">
      <c r="A983" s="2"/>
      <c r="B983" s="2"/>
      <c r="C983" s="2"/>
    </row>
    <row r="984" ht="15.75" customHeight="1">
      <c r="A984" s="2"/>
      <c r="B984" s="2"/>
      <c r="C984" s="2"/>
    </row>
    <row r="985" ht="15.75" customHeight="1">
      <c r="A985" s="2"/>
      <c r="B985" s="2"/>
      <c r="C985" s="2"/>
    </row>
    <row r="986" ht="15.75" customHeight="1">
      <c r="A986" s="2"/>
      <c r="B986" s="2"/>
      <c r="C986" s="2"/>
    </row>
    <row r="987" ht="15.75" customHeight="1">
      <c r="A987" s="2"/>
      <c r="B987" s="2"/>
      <c r="C987" s="2"/>
    </row>
    <row r="988" ht="15.75" customHeight="1">
      <c r="A988" s="2"/>
      <c r="B988" s="2"/>
      <c r="C988" s="2"/>
    </row>
    <row r="989" ht="15.75" customHeight="1">
      <c r="A989" s="2"/>
      <c r="B989" s="2"/>
      <c r="C989" s="2"/>
    </row>
    <row r="990" ht="15.75" customHeight="1">
      <c r="A990" s="2"/>
      <c r="B990" s="2"/>
      <c r="C990" s="2"/>
    </row>
    <row r="991" ht="15.75" customHeight="1">
      <c r="A991" s="2"/>
      <c r="B991" s="2"/>
      <c r="C991" s="2"/>
    </row>
    <row r="992" ht="15.75" customHeight="1">
      <c r="A992" s="2"/>
      <c r="B992" s="2"/>
      <c r="C992" s="2"/>
    </row>
    <row r="993" ht="15.75" customHeight="1">
      <c r="A993" s="2"/>
      <c r="B993" s="2"/>
      <c r="C993" s="2"/>
    </row>
    <row r="994" ht="15.75" customHeight="1">
      <c r="A994" s="2"/>
      <c r="B994" s="2"/>
      <c r="C994" s="2"/>
    </row>
    <row r="995" ht="15.75" customHeight="1">
      <c r="A995" s="2"/>
      <c r="B995" s="2"/>
      <c r="C995" s="2"/>
    </row>
    <row r="996" ht="15.75" customHeight="1">
      <c r="A996" s="2"/>
      <c r="B996" s="2"/>
      <c r="C996" s="2"/>
    </row>
    <row r="997" ht="15.75" customHeight="1">
      <c r="A997" s="2"/>
      <c r="B997" s="2"/>
      <c r="C997" s="2"/>
    </row>
    <row r="998" ht="15.75" customHeight="1">
      <c r="A998" s="2"/>
      <c r="B998" s="2"/>
      <c r="C998" s="2"/>
    </row>
    <row r="999" ht="15.75" customHeight="1">
      <c r="A999" s="2"/>
      <c r="B999" s="2"/>
      <c r="C999" s="2"/>
    </row>
    <row r="1000" ht="15.75" customHeight="1">
      <c r="A1000" s="2"/>
      <c r="B1000" s="2"/>
      <c r="C1000" s="2"/>
    </row>
  </sheetData>
  <mergeCells count="12">
    <mergeCell ref="A21:C21"/>
    <mergeCell ref="A23:C23"/>
    <mergeCell ref="A24:C24"/>
    <mergeCell ref="A26:C26"/>
    <mergeCell ref="A27:C27"/>
    <mergeCell ref="A2:C2"/>
    <mergeCell ref="A13:C13"/>
    <mergeCell ref="A14:C14"/>
    <mergeCell ref="A15:C15"/>
    <mergeCell ref="A17:C17"/>
    <mergeCell ref="A18:C18"/>
    <mergeCell ref="A20:C20"/>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28.0"/>
    <col customWidth="1" min="2" max="2" width="30.0"/>
    <col customWidth="1" min="3" max="3" width="80.0"/>
    <col customWidth="1" min="4" max="4" width="40.0"/>
    <col customWidth="1" min="5" max="26" width="8.71"/>
  </cols>
  <sheetData>
    <row r="1" ht="17.25" customHeight="1">
      <c r="A1" s="1" t="s">
        <v>420</v>
      </c>
      <c r="B1" s="2"/>
      <c r="C1" s="2"/>
      <c r="D1" s="2"/>
    </row>
    <row r="2" ht="15.0" customHeight="1">
      <c r="A2" s="5" t="s">
        <v>421</v>
      </c>
      <c r="B2" s="2"/>
      <c r="C2" s="2"/>
      <c r="D2" s="2"/>
    </row>
    <row r="3">
      <c r="A3" s="2"/>
      <c r="B3" s="2"/>
      <c r="C3" s="2"/>
      <c r="D3" s="2"/>
    </row>
    <row r="4" ht="15.0" customHeight="1">
      <c r="A4" s="11" t="s">
        <v>422</v>
      </c>
      <c r="B4" s="11" t="s">
        <v>423</v>
      </c>
      <c r="C4" s="11" t="s">
        <v>424</v>
      </c>
      <c r="D4" s="11" t="s">
        <v>425</v>
      </c>
    </row>
    <row r="5" ht="15.0" customHeight="1">
      <c r="A5" s="27" t="s">
        <v>426</v>
      </c>
      <c r="B5" s="2">
        <v>10.0</v>
      </c>
      <c r="C5" s="4" t="s">
        <v>427</v>
      </c>
      <c r="D5" s="10"/>
    </row>
    <row r="6" ht="15.0" customHeight="1">
      <c r="A6" s="27" t="s">
        <v>428</v>
      </c>
      <c r="B6" s="2">
        <v>15.0</v>
      </c>
      <c r="C6" s="4" t="s">
        <v>429</v>
      </c>
      <c r="D6" s="10"/>
    </row>
    <row r="7" ht="15.0" customHeight="1">
      <c r="A7" s="27" t="s">
        <v>430</v>
      </c>
      <c r="B7" s="2">
        <v>15.0</v>
      </c>
      <c r="C7" s="4" t="s">
        <v>431</v>
      </c>
      <c r="D7" s="10"/>
    </row>
    <row r="8" ht="15.0" customHeight="1">
      <c r="A8" s="27" t="s">
        <v>432</v>
      </c>
      <c r="B8" s="2">
        <v>20.0</v>
      </c>
      <c r="C8" s="4" t="s">
        <v>433</v>
      </c>
      <c r="D8" s="10"/>
    </row>
    <row r="9" ht="15.0" customHeight="1">
      <c r="A9" s="27" t="s">
        <v>434</v>
      </c>
      <c r="B9" s="2">
        <v>20.0</v>
      </c>
      <c r="C9" s="4" t="s">
        <v>435</v>
      </c>
      <c r="D9" s="10"/>
    </row>
    <row r="10" ht="15.0" customHeight="1">
      <c r="A10" s="27" t="s">
        <v>436</v>
      </c>
      <c r="B10" s="2">
        <v>20.0</v>
      </c>
      <c r="C10" s="4" t="s">
        <v>437</v>
      </c>
      <c r="D10" s="10"/>
    </row>
    <row r="11" ht="15.0" customHeight="1">
      <c r="A11" s="8" t="s">
        <v>438</v>
      </c>
      <c r="B11" s="2">
        <f>SUM(B5:B10)</f>
        <v>100</v>
      </c>
      <c r="C11" s="2"/>
      <c r="D11" s="37">
        <f>SUM(D5:D10)</f>
        <v>0</v>
      </c>
    </row>
    <row r="12" ht="15.0" customHeight="1">
      <c r="A12" s="8" t="s">
        <v>439</v>
      </c>
      <c r="B12" s="2" t="s">
        <v>440</v>
      </c>
      <c r="C12" s="2" t="s">
        <v>441</v>
      </c>
      <c r="D12" s="10"/>
    </row>
    <row r="13">
      <c r="A13" s="2"/>
      <c r="B13" s="2"/>
      <c r="C13" s="2"/>
      <c r="D13" s="2"/>
    </row>
    <row r="14">
      <c r="A14" s="2"/>
      <c r="B14" s="2"/>
      <c r="C14" s="2"/>
      <c r="D14" s="2"/>
    </row>
    <row r="15" ht="15.0" customHeight="1">
      <c r="A15" s="91" t="s">
        <v>442</v>
      </c>
      <c r="B15" s="2"/>
      <c r="C15" s="2"/>
      <c r="D15" s="2"/>
    </row>
    <row r="16" ht="15.0" customHeight="1">
      <c r="A16" s="11" t="s">
        <v>422</v>
      </c>
      <c r="B16" s="11" t="s">
        <v>443</v>
      </c>
      <c r="C16" s="11" t="s">
        <v>444</v>
      </c>
      <c r="D16" s="11" t="s">
        <v>445</v>
      </c>
    </row>
    <row r="17" ht="45.75" customHeight="1">
      <c r="A17" s="25" t="s">
        <v>446</v>
      </c>
      <c r="B17" s="4" t="s">
        <v>447</v>
      </c>
      <c r="C17" s="4" t="s">
        <v>448</v>
      </c>
      <c r="D17" s="4" t="s">
        <v>449</v>
      </c>
    </row>
    <row r="18" ht="45.75" customHeight="1">
      <c r="A18" s="25" t="s">
        <v>450</v>
      </c>
      <c r="B18" s="4" t="s">
        <v>451</v>
      </c>
      <c r="C18" s="4" t="s">
        <v>452</v>
      </c>
      <c r="D18" s="4" t="s">
        <v>453</v>
      </c>
    </row>
    <row r="19" ht="45.75" customHeight="1">
      <c r="A19" s="25" t="s">
        <v>454</v>
      </c>
      <c r="B19" s="4" t="s">
        <v>455</v>
      </c>
      <c r="C19" s="4" t="s">
        <v>456</v>
      </c>
      <c r="D19" s="4" t="s">
        <v>457</v>
      </c>
    </row>
    <row r="20" ht="45.75" customHeight="1">
      <c r="A20" s="25" t="s">
        <v>458</v>
      </c>
      <c r="B20" s="4" t="s">
        <v>459</v>
      </c>
      <c r="C20" s="4" t="s">
        <v>460</v>
      </c>
      <c r="D20" s="4" t="s">
        <v>461</v>
      </c>
    </row>
    <row r="21" ht="15.75" customHeight="1">
      <c r="A21" s="2"/>
      <c r="B21" s="2"/>
      <c r="C21" s="2"/>
      <c r="D21" s="2"/>
    </row>
    <row r="22" ht="15.0" customHeight="1">
      <c r="A22" s="40" t="s">
        <v>462</v>
      </c>
      <c r="B22" s="2"/>
      <c r="C22" s="2"/>
      <c r="D22" s="2"/>
    </row>
    <row r="23" ht="15.75" customHeight="1">
      <c r="A23" s="2"/>
      <c r="B23" s="2"/>
      <c r="C23" s="2"/>
      <c r="D23" s="2"/>
    </row>
    <row r="24" ht="15.75" customHeight="1">
      <c r="A24" s="2"/>
      <c r="B24" s="2"/>
      <c r="C24" s="2"/>
      <c r="D24" s="2"/>
    </row>
    <row r="25" ht="15.75" customHeight="1">
      <c r="A25" s="2"/>
      <c r="B25" s="2"/>
      <c r="C25" s="2"/>
      <c r="D25" s="2"/>
    </row>
    <row r="26" ht="15.75" customHeight="1">
      <c r="A26" s="2"/>
      <c r="B26" s="2"/>
      <c r="C26" s="2"/>
      <c r="D26" s="2"/>
    </row>
    <row r="27" ht="15.75" customHeight="1">
      <c r="A27" s="2"/>
      <c r="B27" s="2"/>
      <c r="C27" s="2"/>
      <c r="D27" s="2"/>
    </row>
    <row r="28" ht="15.75" customHeight="1">
      <c r="A28" s="2"/>
      <c r="B28" s="2"/>
      <c r="C28" s="2"/>
      <c r="D28" s="2"/>
    </row>
    <row r="29" ht="15.75" customHeight="1">
      <c r="A29" s="2"/>
      <c r="B29" s="2"/>
      <c r="C29" s="2"/>
      <c r="D29" s="2"/>
    </row>
    <row r="30" ht="15.75" customHeight="1">
      <c r="A30" s="2"/>
      <c r="B30" s="2"/>
      <c r="C30" s="2"/>
      <c r="D30" s="2"/>
    </row>
    <row r="31" ht="15.75" customHeight="1">
      <c r="A31" s="2"/>
      <c r="B31" s="2"/>
      <c r="C31" s="2"/>
      <c r="D31" s="2"/>
    </row>
    <row r="32" ht="15.75" customHeight="1">
      <c r="A32" s="2"/>
      <c r="B32" s="2"/>
      <c r="C32" s="2"/>
      <c r="D32" s="2"/>
    </row>
    <row r="33" ht="15.75" customHeight="1">
      <c r="A33" s="2"/>
      <c r="B33" s="2"/>
      <c r="C33" s="2"/>
      <c r="D33" s="2"/>
    </row>
    <row r="34" ht="15.75" customHeight="1">
      <c r="A34" s="2"/>
      <c r="B34" s="2"/>
      <c r="C34" s="2"/>
      <c r="D34" s="2"/>
    </row>
    <row r="35" ht="15.75" customHeight="1">
      <c r="A35" s="2"/>
      <c r="B35" s="2"/>
      <c r="C35" s="2"/>
      <c r="D35" s="2"/>
    </row>
    <row r="36" ht="15.75" customHeight="1">
      <c r="A36" s="2"/>
      <c r="B36" s="2"/>
      <c r="C36" s="2"/>
      <c r="D36" s="2"/>
    </row>
    <row r="37" ht="15.75" customHeight="1">
      <c r="A37" s="2"/>
      <c r="B37" s="2"/>
      <c r="C37" s="2"/>
      <c r="D37" s="2"/>
    </row>
    <row r="38" ht="15.75" customHeight="1">
      <c r="A38" s="2"/>
      <c r="B38" s="2"/>
      <c r="C38" s="2"/>
      <c r="D38" s="2"/>
    </row>
    <row r="39" ht="15.75" customHeight="1">
      <c r="A39" s="2"/>
      <c r="B39" s="2"/>
      <c r="C39" s="2"/>
      <c r="D39" s="2"/>
    </row>
    <row r="40" ht="15.75" customHeight="1">
      <c r="A40" s="2"/>
      <c r="B40" s="2"/>
      <c r="C40" s="2"/>
      <c r="D40" s="2"/>
    </row>
    <row r="41" ht="15.75" customHeight="1">
      <c r="A41" s="2"/>
      <c r="B41" s="2"/>
      <c r="C41" s="2"/>
      <c r="D41" s="2"/>
    </row>
    <row r="42" ht="15.75" customHeight="1">
      <c r="A42" s="2"/>
      <c r="B42" s="2"/>
      <c r="C42" s="2"/>
      <c r="D42" s="2"/>
    </row>
    <row r="43" ht="15.75" customHeight="1">
      <c r="A43" s="2"/>
      <c r="B43" s="2"/>
      <c r="C43" s="2"/>
      <c r="D43" s="2"/>
    </row>
    <row r="44" ht="15.75" customHeight="1">
      <c r="A44" s="2"/>
      <c r="B44" s="2"/>
      <c r="C44" s="2"/>
      <c r="D44" s="2"/>
    </row>
    <row r="45" ht="15.75" customHeight="1">
      <c r="A45" s="2"/>
      <c r="B45" s="2"/>
      <c r="C45" s="2"/>
      <c r="D45" s="2"/>
    </row>
    <row r="46" ht="15.75" customHeight="1">
      <c r="A46" s="2"/>
      <c r="B46" s="2"/>
      <c r="C46" s="2"/>
      <c r="D46" s="2"/>
    </row>
    <row r="47" ht="15.75" customHeight="1">
      <c r="A47" s="2"/>
      <c r="B47" s="2"/>
      <c r="C47" s="2"/>
      <c r="D47" s="2"/>
    </row>
    <row r="48" ht="15.75" customHeight="1">
      <c r="A48" s="2"/>
      <c r="B48" s="2"/>
      <c r="C48" s="2"/>
      <c r="D48" s="2"/>
    </row>
    <row r="49" ht="15.75" customHeight="1">
      <c r="A49" s="2"/>
      <c r="B49" s="2"/>
      <c r="C49" s="2"/>
      <c r="D49" s="2"/>
    </row>
    <row r="50" ht="15.75" customHeight="1">
      <c r="A50" s="2"/>
      <c r="B50" s="2"/>
      <c r="C50" s="2"/>
      <c r="D50" s="2"/>
    </row>
    <row r="51" ht="15.75" customHeight="1">
      <c r="A51" s="2"/>
      <c r="B51" s="2"/>
      <c r="C51" s="2"/>
      <c r="D51" s="2"/>
    </row>
    <row r="52" ht="15.75" customHeight="1">
      <c r="A52" s="2"/>
      <c r="B52" s="2"/>
      <c r="C52" s="2"/>
      <c r="D52" s="2"/>
    </row>
    <row r="53" ht="15.75" customHeight="1">
      <c r="A53" s="2"/>
      <c r="B53" s="2"/>
      <c r="C53" s="2"/>
      <c r="D53" s="2"/>
    </row>
    <row r="54" ht="15.75" customHeight="1">
      <c r="A54" s="2"/>
      <c r="B54" s="2"/>
      <c r="C54" s="2"/>
      <c r="D54" s="2"/>
    </row>
    <row r="55" ht="15.75" customHeight="1">
      <c r="A55" s="2"/>
      <c r="B55" s="2"/>
      <c r="C55" s="2"/>
      <c r="D55" s="2"/>
    </row>
    <row r="56" ht="15.75" customHeight="1">
      <c r="A56" s="2"/>
      <c r="B56" s="2"/>
      <c r="C56" s="2"/>
      <c r="D56" s="2"/>
    </row>
    <row r="57" ht="15.75" customHeight="1">
      <c r="A57" s="2"/>
      <c r="B57" s="2"/>
      <c r="C57" s="2"/>
      <c r="D57" s="2"/>
    </row>
    <row r="58" ht="15.75" customHeight="1">
      <c r="A58" s="2"/>
      <c r="B58" s="2"/>
      <c r="C58" s="2"/>
      <c r="D58" s="2"/>
    </row>
    <row r="59" ht="15.75" customHeight="1">
      <c r="A59" s="2"/>
      <c r="B59" s="2"/>
      <c r="C59" s="2"/>
      <c r="D59" s="2"/>
    </row>
    <row r="60" ht="15.75" customHeight="1">
      <c r="A60" s="2"/>
      <c r="B60" s="2"/>
      <c r="C60" s="2"/>
      <c r="D60" s="2"/>
    </row>
    <row r="61" ht="15.75" customHeight="1">
      <c r="A61" s="2"/>
      <c r="B61" s="2"/>
      <c r="C61" s="2"/>
      <c r="D61" s="2"/>
    </row>
    <row r="62" ht="15.75" customHeight="1">
      <c r="A62" s="2"/>
      <c r="B62" s="2"/>
      <c r="C62" s="2"/>
      <c r="D62" s="2"/>
    </row>
    <row r="63" ht="15.75" customHeight="1">
      <c r="A63" s="2"/>
      <c r="B63" s="2"/>
      <c r="C63" s="2"/>
      <c r="D63" s="2"/>
    </row>
    <row r="64" ht="15.75" customHeight="1">
      <c r="A64" s="2"/>
      <c r="B64" s="2"/>
      <c r="C64" s="2"/>
      <c r="D64" s="2"/>
    </row>
    <row r="65" ht="15.75" customHeight="1">
      <c r="A65" s="2"/>
      <c r="B65" s="2"/>
      <c r="C65" s="2"/>
      <c r="D65" s="2"/>
    </row>
    <row r="66" ht="15.75" customHeight="1">
      <c r="A66" s="2"/>
      <c r="B66" s="2"/>
      <c r="C66" s="2"/>
      <c r="D66" s="2"/>
    </row>
    <row r="67" ht="15.75" customHeight="1">
      <c r="A67" s="2"/>
      <c r="B67" s="2"/>
      <c r="C67" s="2"/>
      <c r="D67" s="2"/>
    </row>
    <row r="68" ht="15.75" customHeight="1">
      <c r="A68" s="2"/>
      <c r="B68" s="2"/>
      <c r="C68" s="2"/>
      <c r="D68" s="2"/>
    </row>
    <row r="69" ht="15.75" customHeight="1">
      <c r="A69" s="2"/>
      <c r="B69" s="2"/>
      <c r="C69" s="2"/>
      <c r="D69" s="2"/>
    </row>
    <row r="70" ht="15.75" customHeight="1">
      <c r="A70" s="2"/>
      <c r="B70" s="2"/>
      <c r="C70" s="2"/>
      <c r="D70" s="2"/>
    </row>
    <row r="71" ht="15.75" customHeight="1">
      <c r="A71" s="2"/>
      <c r="B71" s="2"/>
      <c r="C71" s="2"/>
      <c r="D71" s="2"/>
    </row>
    <row r="72" ht="15.75" customHeight="1">
      <c r="A72" s="2"/>
      <c r="B72" s="2"/>
      <c r="C72" s="2"/>
      <c r="D72" s="2"/>
    </row>
    <row r="73" ht="15.75" customHeight="1">
      <c r="A73" s="2"/>
      <c r="B73" s="2"/>
      <c r="C73" s="2"/>
      <c r="D73" s="2"/>
    </row>
    <row r="74" ht="15.75" customHeight="1">
      <c r="A74" s="2"/>
      <c r="B74" s="2"/>
      <c r="C74" s="2"/>
      <c r="D74" s="2"/>
    </row>
    <row r="75" ht="15.75" customHeight="1">
      <c r="A75" s="2"/>
      <c r="B75" s="2"/>
      <c r="C75" s="2"/>
      <c r="D75" s="2"/>
    </row>
    <row r="76" ht="15.75" customHeight="1">
      <c r="A76" s="2"/>
      <c r="B76" s="2"/>
      <c r="C76" s="2"/>
      <c r="D76" s="2"/>
    </row>
    <row r="77" ht="15.75" customHeight="1">
      <c r="A77" s="2"/>
      <c r="B77" s="2"/>
      <c r="C77" s="2"/>
      <c r="D77" s="2"/>
    </row>
    <row r="78" ht="15.75" customHeight="1">
      <c r="A78" s="2"/>
      <c r="B78" s="2"/>
      <c r="C78" s="2"/>
      <c r="D78" s="2"/>
    </row>
    <row r="79" ht="15.75" customHeight="1">
      <c r="A79" s="2"/>
      <c r="B79" s="2"/>
      <c r="C79" s="2"/>
      <c r="D79" s="2"/>
    </row>
    <row r="80" ht="15.75" customHeight="1">
      <c r="A80" s="2"/>
      <c r="B80" s="2"/>
      <c r="C80" s="2"/>
      <c r="D80" s="2"/>
    </row>
    <row r="81" ht="15.75" customHeight="1">
      <c r="A81" s="2"/>
      <c r="B81" s="2"/>
      <c r="C81" s="2"/>
      <c r="D81" s="2"/>
    </row>
    <row r="82" ht="15.75" customHeight="1">
      <c r="A82" s="2"/>
      <c r="B82" s="2"/>
      <c r="C82" s="2"/>
      <c r="D82" s="2"/>
    </row>
    <row r="83" ht="15.75" customHeight="1">
      <c r="A83" s="2"/>
      <c r="B83" s="2"/>
      <c r="C83" s="2"/>
      <c r="D83" s="2"/>
    </row>
    <row r="84" ht="15.75" customHeight="1">
      <c r="A84" s="2"/>
      <c r="B84" s="2"/>
      <c r="C84" s="2"/>
      <c r="D84" s="2"/>
    </row>
    <row r="85" ht="15.75" customHeight="1">
      <c r="A85" s="2"/>
      <c r="B85" s="2"/>
      <c r="C85" s="2"/>
      <c r="D85" s="2"/>
    </row>
    <row r="86" ht="15.75" customHeight="1">
      <c r="A86" s="2"/>
      <c r="B86" s="2"/>
      <c r="C86" s="2"/>
      <c r="D86" s="2"/>
    </row>
    <row r="87" ht="15.75" customHeight="1">
      <c r="A87" s="2"/>
      <c r="B87" s="2"/>
      <c r="C87" s="2"/>
      <c r="D87" s="2"/>
    </row>
    <row r="88" ht="15.75" customHeight="1">
      <c r="A88" s="2"/>
      <c r="B88" s="2"/>
      <c r="C88" s="2"/>
      <c r="D88" s="2"/>
    </row>
    <row r="89" ht="15.75" customHeight="1">
      <c r="A89" s="2"/>
      <c r="B89" s="2"/>
      <c r="C89" s="2"/>
      <c r="D89" s="2"/>
    </row>
    <row r="90" ht="15.75" customHeight="1">
      <c r="A90" s="2"/>
      <c r="B90" s="2"/>
      <c r="C90" s="2"/>
      <c r="D90" s="2"/>
    </row>
    <row r="91" ht="15.75" customHeight="1">
      <c r="A91" s="2"/>
      <c r="B91" s="2"/>
      <c r="C91" s="2"/>
      <c r="D91" s="2"/>
    </row>
    <row r="92" ht="15.75" customHeight="1">
      <c r="A92" s="2"/>
      <c r="B92" s="2"/>
      <c r="C92" s="2"/>
      <c r="D92" s="2"/>
    </row>
    <row r="93" ht="15.75" customHeight="1">
      <c r="A93" s="2"/>
      <c r="B93" s="2"/>
      <c r="C93" s="2"/>
      <c r="D93" s="2"/>
    </row>
    <row r="94" ht="15.75" customHeight="1">
      <c r="A94" s="2"/>
      <c r="B94" s="2"/>
      <c r="C94" s="2"/>
      <c r="D94" s="2"/>
    </row>
    <row r="95" ht="15.75" customHeight="1">
      <c r="A95" s="2"/>
      <c r="B95" s="2"/>
      <c r="C95" s="2"/>
      <c r="D95" s="2"/>
    </row>
    <row r="96" ht="15.75" customHeight="1">
      <c r="A96" s="2"/>
      <c r="B96" s="2"/>
      <c r="C96" s="2"/>
      <c r="D96" s="2"/>
    </row>
    <row r="97" ht="15.75" customHeight="1">
      <c r="A97" s="2"/>
      <c r="B97" s="2"/>
      <c r="C97" s="2"/>
      <c r="D97" s="2"/>
    </row>
    <row r="98" ht="15.75" customHeight="1">
      <c r="A98" s="2"/>
      <c r="B98" s="2"/>
      <c r="C98" s="2"/>
      <c r="D98" s="2"/>
    </row>
    <row r="99" ht="15.75" customHeight="1">
      <c r="A99" s="2"/>
      <c r="B99" s="2"/>
      <c r="C99" s="2"/>
      <c r="D99" s="2"/>
    </row>
    <row r="100" ht="15.75" customHeight="1">
      <c r="A100" s="2"/>
      <c r="B100" s="2"/>
      <c r="C100" s="2"/>
      <c r="D100" s="2"/>
    </row>
    <row r="101" ht="15.75" customHeight="1">
      <c r="A101" s="2"/>
      <c r="B101" s="2"/>
      <c r="C101" s="2"/>
      <c r="D101" s="2"/>
    </row>
    <row r="102" ht="15.75" customHeight="1">
      <c r="A102" s="2"/>
      <c r="B102" s="2"/>
      <c r="C102" s="2"/>
      <c r="D102" s="2"/>
    </row>
    <row r="103" ht="15.75" customHeight="1">
      <c r="A103" s="2"/>
      <c r="B103" s="2"/>
      <c r="C103" s="2"/>
      <c r="D103" s="2"/>
    </row>
    <row r="104" ht="15.75" customHeight="1">
      <c r="A104" s="2"/>
      <c r="B104" s="2"/>
      <c r="C104" s="2"/>
      <c r="D104" s="2"/>
    </row>
    <row r="105" ht="15.75" customHeight="1">
      <c r="A105" s="2"/>
      <c r="B105" s="2"/>
      <c r="C105" s="2"/>
      <c r="D105" s="2"/>
    </row>
    <row r="106" ht="15.75" customHeight="1">
      <c r="A106" s="2"/>
      <c r="B106" s="2"/>
      <c r="C106" s="2"/>
      <c r="D106" s="2"/>
    </row>
    <row r="107" ht="15.75" customHeight="1">
      <c r="A107" s="2"/>
      <c r="B107" s="2"/>
      <c r="C107" s="2"/>
      <c r="D107" s="2"/>
    </row>
    <row r="108" ht="15.75" customHeight="1">
      <c r="A108" s="2"/>
      <c r="B108" s="2"/>
      <c r="C108" s="2"/>
      <c r="D108" s="2"/>
    </row>
    <row r="109" ht="15.75" customHeight="1">
      <c r="A109" s="2"/>
      <c r="B109" s="2"/>
      <c r="C109" s="2"/>
      <c r="D109" s="2"/>
    </row>
    <row r="110" ht="15.75" customHeight="1">
      <c r="A110" s="2"/>
      <c r="B110" s="2"/>
      <c r="C110" s="2"/>
      <c r="D110" s="2"/>
    </row>
    <row r="111" ht="15.75" customHeight="1">
      <c r="A111" s="2"/>
      <c r="B111" s="2"/>
      <c r="C111" s="2"/>
      <c r="D111" s="2"/>
    </row>
    <row r="112" ht="15.75" customHeight="1">
      <c r="A112" s="2"/>
      <c r="B112" s="2"/>
      <c r="C112" s="2"/>
      <c r="D112" s="2"/>
    </row>
    <row r="113" ht="15.75" customHeight="1">
      <c r="A113" s="2"/>
      <c r="B113" s="2"/>
      <c r="C113" s="2"/>
      <c r="D113" s="2"/>
    </row>
    <row r="114" ht="15.75" customHeight="1">
      <c r="A114" s="2"/>
      <c r="B114" s="2"/>
      <c r="C114" s="2"/>
      <c r="D114" s="2"/>
    </row>
    <row r="115" ht="15.75" customHeight="1">
      <c r="A115" s="2"/>
      <c r="B115" s="2"/>
      <c r="C115" s="2"/>
      <c r="D115" s="2"/>
    </row>
    <row r="116" ht="15.75" customHeight="1">
      <c r="A116" s="2"/>
      <c r="B116" s="2"/>
      <c r="C116" s="2"/>
      <c r="D116" s="2"/>
    </row>
    <row r="117" ht="15.75" customHeight="1">
      <c r="A117" s="2"/>
      <c r="B117" s="2"/>
      <c r="C117" s="2"/>
      <c r="D117" s="2"/>
    </row>
    <row r="118" ht="15.75" customHeight="1">
      <c r="A118" s="2"/>
      <c r="B118" s="2"/>
      <c r="C118" s="2"/>
      <c r="D118" s="2"/>
    </row>
    <row r="119" ht="15.75" customHeight="1">
      <c r="A119" s="2"/>
      <c r="B119" s="2"/>
      <c r="C119" s="2"/>
      <c r="D119" s="2"/>
    </row>
    <row r="120" ht="15.75" customHeight="1">
      <c r="A120" s="2"/>
      <c r="B120" s="2"/>
      <c r="C120" s="2"/>
      <c r="D120" s="2"/>
    </row>
    <row r="121" ht="15.75" customHeight="1">
      <c r="A121" s="2"/>
      <c r="B121" s="2"/>
      <c r="C121" s="2"/>
      <c r="D121" s="2"/>
    </row>
    <row r="122" ht="15.75" customHeight="1">
      <c r="A122" s="2"/>
      <c r="B122" s="2"/>
      <c r="C122" s="2"/>
      <c r="D122" s="2"/>
    </row>
    <row r="123" ht="15.75" customHeight="1">
      <c r="A123" s="2"/>
      <c r="B123" s="2"/>
      <c r="C123" s="2"/>
      <c r="D123" s="2"/>
    </row>
    <row r="124" ht="15.75" customHeight="1">
      <c r="A124" s="2"/>
      <c r="B124" s="2"/>
      <c r="C124" s="2"/>
      <c r="D124" s="2"/>
    </row>
    <row r="125" ht="15.75" customHeight="1">
      <c r="A125" s="2"/>
      <c r="B125" s="2"/>
      <c r="C125" s="2"/>
      <c r="D125" s="2"/>
    </row>
    <row r="126" ht="15.75" customHeight="1">
      <c r="A126" s="2"/>
      <c r="B126" s="2"/>
      <c r="C126" s="2"/>
      <c r="D126" s="2"/>
    </row>
    <row r="127" ht="15.75" customHeight="1">
      <c r="A127" s="2"/>
      <c r="B127" s="2"/>
      <c r="C127" s="2"/>
      <c r="D127" s="2"/>
    </row>
    <row r="128" ht="15.75" customHeight="1">
      <c r="A128" s="2"/>
      <c r="B128" s="2"/>
      <c r="C128" s="2"/>
      <c r="D128" s="2"/>
    </row>
    <row r="129" ht="15.75" customHeight="1">
      <c r="A129" s="2"/>
      <c r="B129" s="2"/>
      <c r="C129" s="2"/>
      <c r="D129" s="2"/>
    </row>
    <row r="130" ht="15.75" customHeight="1">
      <c r="A130" s="2"/>
      <c r="B130" s="2"/>
      <c r="C130" s="2"/>
      <c r="D130" s="2"/>
    </row>
    <row r="131" ht="15.75" customHeight="1">
      <c r="A131" s="2"/>
      <c r="B131" s="2"/>
      <c r="C131" s="2"/>
      <c r="D131" s="2"/>
    </row>
    <row r="132" ht="15.75" customHeight="1">
      <c r="A132" s="2"/>
      <c r="B132" s="2"/>
      <c r="C132" s="2"/>
      <c r="D132" s="2"/>
    </row>
    <row r="133" ht="15.75" customHeight="1">
      <c r="A133" s="2"/>
      <c r="B133" s="2"/>
      <c r="C133" s="2"/>
      <c r="D133" s="2"/>
    </row>
    <row r="134" ht="15.75" customHeight="1">
      <c r="A134" s="2"/>
      <c r="B134" s="2"/>
      <c r="C134" s="2"/>
      <c r="D134" s="2"/>
    </row>
    <row r="135" ht="15.75" customHeight="1">
      <c r="A135" s="2"/>
      <c r="B135" s="2"/>
      <c r="C135" s="2"/>
      <c r="D135" s="2"/>
    </row>
    <row r="136" ht="15.75" customHeight="1">
      <c r="A136" s="2"/>
      <c r="B136" s="2"/>
      <c r="C136" s="2"/>
      <c r="D136" s="2"/>
    </row>
    <row r="137" ht="15.75" customHeight="1">
      <c r="A137" s="2"/>
      <c r="B137" s="2"/>
      <c r="C137" s="2"/>
      <c r="D137" s="2"/>
    </row>
    <row r="138" ht="15.75" customHeight="1">
      <c r="A138" s="2"/>
      <c r="B138" s="2"/>
      <c r="C138" s="2"/>
      <c r="D138" s="2"/>
    </row>
    <row r="139" ht="15.75" customHeight="1">
      <c r="A139" s="2"/>
      <c r="B139" s="2"/>
      <c r="C139" s="2"/>
      <c r="D139" s="2"/>
    </row>
    <row r="140" ht="15.75" customHeight="1">
      <c r="A140" s="2"/>
      <c r="B140" s="2"/>
      <c r="C140" s="2"/>
      <c r="D140" s="2"/>
    </row>
    <row r="141" ht="15.75" customHeight="1">
      <c r="A141" s="2"/>
      <c r="B141" s="2"/>
      <c r="C141" s="2"/>
      <c r="D141" s="2"/>
    </row>
    <row r="142" ht="15.75" customHeight="1">
      <c r="A142" s="2"/>
      <c r="B142" s="2"/>
      <c r="C142" s="2"/>
      <c r="D142" s="2"/>
    </row>
    <row r="143" ht="15.75" customHeight="1">
      <c r="A143" s="2"/>
      <c r="B143" s="2"/>
      <c r="C143" s="2"/>
      <c r="D143" s="2"/>
    </row>
    <row r="144" ht="15.75" customHeight="1">
      <c r="A144" s="2"/>
      <c r="B144" s="2"/>
      <c r="C144" s="2"/>
      <c r="D144" s="2"/>
    </row>
    <row r="145" ht="15.75" customHeight="1">
      <c r="A145" s="2"/>
      <c r="B145" s="2"/>
      <c r="C145" s="2"/>
      <c r="D145" s="2"/>
    </row>
    <row r="146" ht="15.75" customHeight="1">
      <c r="A146" s="2"/>
      <c r="B146" s="2"/>
      <c r="C146" s="2"/>
      <c r="D146" s="2"/>
    </row>
    <row r="147" ht="15.75" customHeight="1">
      <c r="A147" s="2"/>
      <c r="B147" s="2"/>
      <c r="C147" s="2"/>
      <c r="D147" s="2"/>
    </row>
    <row r="148" ht="15.75" customHeight="1">
      <c r="A148" s="2"/>
      <c r="B148" s="2"/>
      <c r="C148" s="2"/>
      <c r="D148" s="2"/>
    </row>
    <row r="149" ht="15.75" customHeight="1">
      <c r="A149" s="2"/>
      <c r="B149" s="2"/>
      <c r="C149" s="2"/>
      <c r="D149" s="2"/>
    </row>
    <row r="150" ht="15.75" customHeight="1">
      <c r="A150" s="2"/>
      <c r="B150" s="2"/>
      <c r="C150" s="2"/>
      <c r="D150" s="2"/>
    </row>
    <row r="151" ht="15.75" customHeight="1">
      <c r="A151" s="2"/>
      <c r="B151" s="2"/>
      <c r="C151" s="2"/>
      <c r="D151" s="2"/>
    </row>
    <row r="152" ht="15.75" customHeight="1">
      <c r="A152" s="2"/>
      <c r="B152" s="2"/>
      <c r="C152" s="2"/>
      <c r="D152" s="2"/>
    </row>
    <row r="153" ht="15.75" customHeight="1">
      <c r="A153" s="2"/>
      <c r="B153" s="2"/>
      <c r="C153" s="2"/>
      <c r="D153" s="2"/>
    </row>
    <row r="154" ht="15.75" customHeight="1">
      <c r="A154" s="2"/>
      <c r="B154" s="2"/>
      <c r="C154" s="2"/>
      <c r="D154" s="2"/>
    </row>
    <row r="155" ht="15.75" customHeight="1">
      <c r="A155" s="2"/>
      <c r="B155" s="2"/>
      <c r="C155" s="2"/>
      <c r="D155" s="2"/>
    </row>
    <row r="156" ht="15.75" customHeight="1">
      <c r="A156" s="2"/>
      <c r="B156" s="2"/>
      <c r="C156" s="2"/>
      <c r="D156" s="2"/>
    </row>
    <row r="157" ht="15.75" customHeight="1">
      <c r="A157" s="2"/>
      <c r="B157" s="2"/>
      <c r="C157" s="2"/>
      <c r="D157" s="2"/>
    </row>
    <row r="158" ht="15.75" customHeight="1">
      <c r="A158" s="2"/>
      <c r="B158" s="2"/>
      <c r="C158" s="2"/>
      <c r="D158" s="2"/>
    </row>
    <row r="159" ht="15.75" customHeight="1">
      <c r="A159" s="2"/>
      <c r="B159" s="2"/>
      <c r="C159" s="2"/>
      <c r="D159" s="2"/>
    </row>
    <row r="160" ht="15.75" customHeight="1">
      <c r="A160" s="2"/>
      <c r="B160" s="2"/>
      <c r="C160" s="2"/>
      <c r="D160" s="2"/>
    </row>
    <row r="161" ht="15.75" customHeight="1">
      <c r="A161" s="2"/>
      <c r="B161" s="2"/>
      <c r="C161" s="2"/>
      <c r="D161" s="2"/>
    </row>
    <row r="162" ht="15.75" customHeight="1">
      <c r="A162" s="2"/>
      <c r="B162" s="2"/>
      <c r="C162" s="2"/>
      <c r="D162" s="2"/>
    </row>
    <row r="163" ht="15.75" customHeight="1">
      <c r="A163" s="2"/>
      <c r="B163" s="2"/>
      <c r="C163" s="2"/>
      <c r="D163" s="2"/>
    </row>
    <row r="164" ht="15.75" customHeight="1">
      <c r="A164" s="2"/>
      <c r="B164" s="2"/>
      <c r="C164" s="2"/>
      <c r="D164" s="2"/>
    </row>
    <row r="165" ht="15.75" customHeight="1">
      <c r="A165" s="2"/>
      <c r="B165" s="2"/>
      <c r="C165" s="2"/>
      <c r="D165" s="2"/>
    </row>
    <row r="166" ht="15.75" customHeight="1">
      <c r="A166" s="2"/>
      <c r="B166" s="2"/>
      <c r="C166" s="2"/>
      <c r="D166" s="2"/>
    </row>
    <row r="167" ht="15.75" customHeight="1">
      <c r="A167" s="2"/>
      <c r="B167" s="2"/>
      <c r="C167" s="2"/>
      <c r="D167" s="2"/>
    </row>
    <row r="168" ht="15.75" customHeight="1">
      <c r="A168" s="2"/>
      <c r="B168" s="2"/>
      <c r="C168" s="2"/>
      <c r="D168" s="2"/>
    </row>
    <row r="169" ht="15.75" customHeight="1">
      <c r="A169" s="2"/>
      <c r="B169" s="2"/>
      <c r="C169" s="2"/>
      <c r="D169" s="2"/>
    </row>
    <row r="170" ht="15.75" customHeight="1">
      <c r="A170" s="2"/>
      <c r="B170" s="2"/>
      <c r="C170" s="2"/>
      <c r="D170" s="2"/>
    </row>
    <row r="171" ht="15.75" customHeight="1">
      <c r="A171" s="2"/>
      <c r="B171" s="2"/>
      <c r="C171" s="2"/>
      <c r="D171" s="2"/>
    </row>
    <row r="172" ht="15.75" customHeight="1">
      <c r="A172" s="2"/>
      <c r="B172" s="2"/>
      <c r="C172" s="2"/>
      <c r="D172" s="2"/>
    </row>
    <row r="173" ht="15.75" customHeight="1">
      <c r="A173" s="2"/>
      <c r="B173" s="2"/>
      <c r="C173" s="2"/>
      <c r="D173" s="2"/>
    </row>
    <row r="174" ht="15.75" customHeight="1">
      <c r="A174" s="2"/>
      <c r="B174" s="2"/>
      <c r="C174" s="2"/>
      <c r="D174" s="2"/>
    </row>
    <row r="175" ht="15.75" customHeight="1">
      <c r="A175" s="2"/>
      <c r="B175" s="2"/>
      <c r="C175" s="2"/>
      <c r="D175" s="2"/>
    </row>
    <row r="176" ht="15.75" customHeight="1">
      <c r="A176" s="2"/>
      <c r="B176" s="2"/>
      <c r="C176" s="2"/>
      <c r="D176" s="2"/>
    </row>
    <row r="177" ht="15.75" customHeight="1">
      <c r="A177" s="2"/>
      <c r="B177" s="2"/>
      <c r="C177" s="2"/>
      <c r="D177" s="2"/>
    </row>
    <row r="178" ht="15.75" customHeight="1">
      <c r="A178" s="2"/>
      <c r="B178" s="2"/>
      <c r="C178" s="2"/>
      <c r="D178" s="2"/>
    </row>
    <row r="179" ht="15.75" customHeight="1">
      <c r="A179" s="2"/>
      <c r="B179" s="2"/>
      <c r="C179" s="2"/>
      <c r="D179" s="2"/>
    </row>
    <row r="180" ht="15.75" customHeight="1">
      <c r="A180" s="2"/>
      <c r="B180" s="2"/>
      <c r="C180" s="2"/>
      <c r="D180" s="2"/>
    </row>
    <row r="181" ht="15.75" customHeight="1">
      <c r="A181" s="2"/>
      <c r="B181" s="2"/>
      <c r="C181" s="2"/>
      <c r="D181" s="2"/>
    </row>
    <row r="182" ht="15.75" customHeight="1">
      <c r="A182" s="2"/>
      <c r="B182" s="2"/>
      <c r="C182" s="2"/>
      <c r="D182" s="2"/>
    </row>
    <row r="183" ht="15.75" customHeight="1">
      <c r="A183" s="2"/>
      <c r="B183" s="2"/>
      <c r="C183" s="2"/>
      <c r="D183" s="2"/>
    </row>
    <row r="184" ht="15.75" customHeight="1">
      <c r="A184" s="2"/>
      <c r="B184" s="2"/>
      <c r="C184" s="2"/>
      <c r="D184" s="2"/>
    </row>
    <row r="185" ht="15.75" customHeight="1">
      <c r="A185" s="2"/>
      <c r="B185" s="2"/>
      <c r="C185" s="2"/>
      <c r="D185" s="2"/>
    </row>
    <row r="186" ht="15.75" customHeight="1">
      <c r="A186" s="2"/>
      <c r="B186" s="2"/>
      <c r="C186" s="2"/>
      <c r="D186" s="2"/>
    </row>
    <row r="187" ht="15.75" customHeight="1">
      <c r="A187" s="2"/>
      <c r="B187" s="2"/>
      <c r="C187" s="2"/>
      <c r="D187" s="2"/>
    </row>
    <row r="188" ht="15.75" customHeight="1">
      <c r="A188" s="2"/>
      <c r="B188" s="2"/>
      <c r="C188" s="2"/>
      <c r="D188" s="2"/>
    </row>
    <row r="189" ht="15.75" customHeight="1">
      <c r="A189" s="2"/>
      <c r="B189" s="2"/>
      <c r="C189" s="2"/>
      <c r="D189" s="2"/>
    </row>
    <row r="190" ht="15.75" customHeight="1">
      <c r="A190" s="2"/>
      <c r="B190" s="2"/>
      <c r="C190" s="2"/>
      <c r="D190" s="2"/>
    </row>
    <row r="191" ht="15.75" customHeight="1">
      <c r="A191" s="2"/>
      <c r="B191" s="2"/>
      <c r="C191" s="2"/>
      <c r="D191" s="2"/>
    </row>
    <row r="192" ht="15.75" customHeight="1">
      <c r="A192" s="2"/>
      <c r="B192" s="2"/>
      <c r="C192" s="2"/>
      <c r="D192" s="2"/>
    </row>
    <row r="193" ht="15.75" customHeight="1">
      <c r="A193" s="2"/>
      <c r="B193" s="2"/>
      <c r="C193" s="2"/>
      <c r="D193" s="2"/>
    </row>
    <row r="194" ht="15.75" customHeight="1">
      <c r="A194" s="2"/>
      <c r="B194" s="2"/>
      <c r="C194" s="2"/>
      <c r="D194" s="2"/>
    </row>
    <row r="195" ht="15.75" customHeight="1">
      <c r="A195" s="2"/>
      <c r="B195" s="2"/>
      <c r="C195" s="2"/>
      <c r="D195" s="2"/>
    </row>
    <row r="196" ht="15.75" customHeight="1">
      <c r="A196" s="2"/>
      <c r="B196" s="2"/>
      <c r="C196" s="2"/>
      <c r="D196" s="2"/>
    </row>
    <row r="197" ht="15.75" customHeight="1">
      <c r="A197" s="2"/>
      <c r="B197" s="2"/>
      <c r="C197" s="2"/>
      <c r="D197" s="2"/>
    </row>
    <row r="198" ht="15.75" customHeight="1">
      <c r="A198" s="2"/>
      <c r="B198" s="2"/>
      <c r="C198" s="2"/>
      <c r="D198" s="2"/>
    </row>
    <row r="199" ht="15.75" customHeight="1">
      <c r="A199" s="2"/>
      <c r="B199" s="2"/>
      <c r="C199" s="2"/>
      <c r="D199" s="2"/>
    </row>
    <row r="200" ht="15.75" customHeight="1">
      <c r="A200" s="2"/>
      <c r="B200" s="2"/>
      <c r="C200" s="2"/>
      <c r="D200" s="2"/>
    </row>
    <row r="201" ht="15.75" customHeight="1">
      <c r="A201" s="2"/>
      <c r="B201" s="2"/>
      <c r="C201" s="2"/>
      <c r="D201" s="2"/>
    </row>
    <row r="202" ht="15.75" customHeight="1">
      <c r="A202" s="2"/>
      <c r="B202" s="2"/>
      <c r="C202" s="2"/>
      <c r="D202" s="2"/>
    </row>
    <row r="203" ht="15.75" customHeight="1">
      <c r="A203" s="2"/>
      <c r="B203" s="2"/>
      <c r="C203" s="2"/>
      <c r="D203" s="2"/>
    </row>
    <row r="204" ht="15.75" customHeight="1">
      <c r="A204" s="2"/>
      <c r="B204" s="2"/>
      <c r="C204" s="2"/>
      <c r="D204" s="2"/>
    </row>
    <row r="205" ht="15.75" customHeight="1">
      <c r="A205" s="2"/>
      <c r="B205" s="2"/>
      <c r="C205" s="2"/>
      <c r="D205" s="2"/>
    </row>
    <row r="206" ht="15.75" customHeight="1">
      <c r="A206" s="2"/>
      <c r="B206" s="2"/>
      <c r="C206" s="2"/>
      <c r="D206" s="2"/>
    </row>
    <row r="207" ht="15.75" customHeight="1">
      <c r="A207" s="2"/>
      <c r="B207" s="2"/>
      <c r="C207" s="2"/>
      <c r="D207" s="2"/>
    </row>
    <row r="208" ht="15.75" customHeight="1">
      <c r="A208" s="2"/>
      <c r="B208" s="2"/>
      <c r="C208" s="2"/>
      <c r="D208" s="2"/>
    </row>
    <row r="209" ht="15.75" customHeight="1">
      <c r="A209" s="2"/>
      <c r="B209" s="2"/>
      <c r="C209" s="2"/>
      <c r="D209" s="2"/>
    </row>
    <row r="210" ht="15.75" customHeight="1">
      <c r="A210" s="2"/>
      <c r="B210" s="2"/>
      <c r="C210" s="2"/>
      <c r="D210" s="2"/>
    </row>
    <row r="211" ht="15.75" customHeight="1">
      <c r="A211" s="2"/>
      <c r="B211" s="2"/>
      <c r="C211" s="2"/>
      <c r="D211" s="2"/>
    </row>
    <row r="212" ht="15.75" customHeight="1">
      <c r="A212" s="2"/>
      <c r="B212" s="2"/>
      <c r="C212" s="2"/>
      <c r="D212" s="2"/>
    </row>
    <row r="213" ht="15.75" customHeight="1">
      <c r="A213" s="2"/>
      <c r="B213" s="2"/>
      <c r="C213" s="2"/>
      <c r="D213" s="2"/>
    </row>
    <row r="214" ht="15.75" customHeight="1">
      <c r="A214" s="2"/>
      <c r="B214" s="2"/>
      <c r="C214" s="2"/>
      <c r="D214" s="2"/>
    </row>
    <row r="215" ht="15.75" customHeight="1">
      <c r="A215" s="2"/>
      <c r="B215" s="2"/>
      <c r="C215" s="2"/>
      <c r="D215" s="2"/>
    </row>
    <row r="216" ht="15.75" customHeight="1">
      <c r="A216" s="2"/>
      <c r="B216" s="2"/>
      <c r="C216" s="2"/>
      <c r="D216" s="2"/>
    </row>
    <row r="217" ht="15.75" customHeight="1">
      <c r="A217" s="2"/>
      <c r="B217" s="2"/>
      <c r="C217" s="2"/>
      <c r="D217" s="2"/>
    </row>
    <row r="218" ht="15.75" customHeight="1">
      <c r="A218" s="2"/>
      <c r="B218" s="2"/>
      <c r="C218" s="2"/>
      <c r="D218" s="2"/>
    </row>
    <row r="219" ht="15.75" customHeight="1">
      <c r="A219" s="2"/>
      <c r="B219" s="2"/>
      <c r="C219" s="2"/>
      <c r="D219" s="2"/>
    </row>
    <row r="220" ht="15.75" customHeight="1">
      <c r="A220" s="2"/>
      <c r="B220" s="2"/>
      <c r="C220" s="2"/>
      <c r="D220" s="2"/>
    </row>
    <row r="221" ht="15.75" customHeight="1">
      <c r="A221" s="2"/>
      <c r="B221" s="2"/>
      <c r="C221" s="2"/>
      <c r="D221" s="2"/>
    </row>
    <row r="222" ht="15.75" customHeight="1">
      <c r="A222" s="2"/>
      <c r="B222" s="2"/>
      <c r="C222" s="2"/>
      <c r="D222" s="2"/>
    </row>
    <row r="223" ht="15.75" customHeight="1">
      <c r="A223" s="2"/>
      <c r="B223" s="2"/>
      <c r="C223" s="2"/>
      <c r="D223" s="2"/>
    </row>
    <row r="224" ht="15.75" customHeight="1">
      <c r="A224" s="2"/>
      <c r="B224" s="2"/>
      <c r="C224" s="2"/>
      <c r="D224" s="2"/>
    </row>
    <row r="225" ht="15.75" customHeight="1">
      <c r="A225" s="2"/>
      <c r="B225" s="2"/>
      <c r="C225" s="2"/>
      <c r="D225" s="2"/>
    </row>
    <row r="226" ht="15.75" customHeight="1">
      <c r="A226" s="2"/>
      <c r="B226" s="2"/>
      <c r="C226" s="2"/>
      <c r="D226" s="2"/>
    </row>
    <row r="227" ht="15.75" customHeight="1">
      <c r="A227" s="2"/>
      <c r="B227" s="2"/>
      <c r="C227" s="2"/>
      <c r="D227" s="2"/>
    </row>
    <row r="228" ht="15.75" customHeight="1">
      <c r="A228" s="2"/>
      <c r="B228" s="2"/>
      <c r="C228" s="2"/>
      <c r="D228" s="2"/>
    </row>
    <row r="229" ht="15.75" customHeight="1">
      <c r="A229" s="2"/>
      <c r="B229" s="2"/>
      <c r="C229" s="2"/>
      <c r="D229" s="2"/>
    </row>
    <row r="230" ht="15.75" customHeight="1">
      <c r="A230" s="2"/>
      <c r="B230" s="2"/>
      <c r="C230" s="2"/>
      <c r="D230" s="2"/>
    </row>
    <row r="231" ht="15.75" customHeight="1">
      <c r="A231" s="2"/>
      <c r="B231" s="2"/>
      <c r="C231" s="2"/>
      <c r="D231" s="2"/>
    </row>
    <row r="232" ht="15.75" customHeight="1">
      <c r="A232" s="2"/>
      <c r="B232" s="2"/>
      <c r="C232" s="2"/>
      <c r="D232" s="2"/>
    </row>
    <row r="233" ht="15.75" customHeight="1">
      <c r="A233" s="2"/>
      <c r="B233" s="2"/>
      <c r="C233" s="2"/>
      <c r="D233" s="2"/>
    </row>
    <row r="234" ht="15.75" customHeight="1">
      <c r="A234" s="2"/>
      <c r="B234" s="2"/>
      <c r="C234" s="2"/>
      <c r="D234" s="2"/>
    </row>
    <row r="235" ht="15.75" customHeight="1">
      <c r="A235" s="2"/>
      <c r="B235" s="2"/>
      <c r="C235" s="2"/>
      <c r="D235" s="2"/>
    </row>
    <row r="236" ht="15.75" customHeight="1">
      <c r="A236" s="2"/>
      <c r="B236" s="2"/>
      <c r="C236" s="2"/>
      <c r="D236" s="2"/>
    </row>
    <row r="237" ht="15.75" customHeight="1">
      <c r="A237" s="2"/>
      <c r="B237" s="2"/>
      <c r="C237" s="2"/>
      <c r="D237" s="2"/>
    </row>
    <row r="238" ht="15.75" customHeight="1">
      <c r="A238" s="2"/>
      <c r="B238" s="2"/>
      <c r="C238" s="2"/>
      <c r="D238" s="2"/>
    </row>
    <row r="239" ht="15.75" customHeight="1">
      <c r="A239" s="2"/>
      <c r="B239" s="2"/>
      <c r="C239" s="2"/>
      <c r="D239" s="2"/>
    </row>
    <row r="240" ht="15.75" customHeight="1">
      <c r="A240" s="2"/>
      <c r="B240" s="2"/>
      <c r="C240" s="2"/>
      <c r="D240" s="2"/>
    </row>
    <row r="241" ht="15.75" customHeight="1">
      <c r="A241" s="2"/>
      <c r="B241" s="2"/>
      <c r="C241" s="2"/>
      <c r="D241" s="2"/>
    </row>
    <row r="242" ht="15.75" customHeight="1">
      <c r="A242" s="2"/>
      <c r="B242" s="2"/>
      <c r="C242" s="2"/>
      <c r="D242" s="2"/>
    </row>
    <row r="243" ht="15.75" customHeight="1">
      <c r="A243" s="2"/>
      <c r="B243" s="2"/>
      <c r="C243" s="2"/>
      <c r="D243" s="2"/>
    </row>
    <row r="244" ht="15.75" customHeight="1">
      <c r="A244" s="2"/>
      <c r="B244" s="2"/>
      <c r="C244" s="2"/>
      <c r="D244" s="2"/>
    </row>
    <row r="245" ht="15.75" customHeight="1">
      <c r="A245" s="2"/>
      <c r="B245" s="2"/>
      <c r="C245" s="2"/>
      <c r="D245" s="2"/>
    </row>
    <row r="246" ht="15.75" customHeight="1">
      <c r="A246" s="2"/>
      <c r="B246" s="2"/>
      <c r="C246" s="2"/>
      <c r="D246" s="2"/>
    </row>
    <row r="247" ht="15.75" customHeight="1">
      <c r="A247" s="2"/>
      <c r="B247" s="2"/>
      <c r="C247" s="2"/>
      <c r="D247" s="2"/>
    </row>
    <row r="248" ht="15.75" customHeight="1">
      <c r="A248" s="2"/>
      <c r="B248" s="2"/>
      <c r="C248" s="2"/>
      <c r="D248" s="2"/>
    </row>
    <row r="249" ht="15.75" customHeight="1">
      <c r="A249" s="2"/>
      <c r="B249" s="2"/>
      <c r="C249" s="2"/>
      <c r="D249" s="2"/>
    </row>
    <row r="250" ht="15.75" customHeight="1">
      <c r="A250" s="2"/>
      <c r="B250" s="2"/>
      <c r="C250" s="2"/>
      <c r="D250" s="2"/>
    </row>
    <row r="251" ht="15.75" customHeight="1">
      <c r="A251" s="2"/>
      <c r="B251" s="2"/>
      <c r="C251" s="2"/>
      <c r="D251" s="2"/>
    </row>
    <row r="252" ht="15.75" customHeight="1">
      <c r="A252" s="2"/>
      <c r="B252" s="2"/>
      <c r="C252" s="2"/>
      <c r="D252" s="2"/>
    </row>
    <row r="253" ht="15.75" customHeight="1">
      <c r="A253" s="2"/>
      <c r="B253" s="2"/>
      <c r="C253" s="2"/>
      <c r="D253" s="2"/>
    </row>
    <row r="254" ht="15.75" customHeight="1">
      <c r="A254" s="2"/>
      <c r="B254" s="2"/>
      <c r="C254" s="2"/>
      <c r="D254" s="2"/>
    </row>
    <row r="255" ht="15.75" customHeight="1">
      <c r="A255" s="2"/>
      <c r="B255" s="2"/>
      <c r="C255" s="2"/>
      <c r="D255" s="2"/>
    </row>
    <row r="256" ht="15.75" customHeight="1">
      <c r="A256" s="2"/>
      <c r="B256" s="2"/>
      <c r="C256" s="2"/>
      <c r="D256" s="2"/>
    </row>
    <row r="257" ht="15.75" customHeight="1">
      <c r="A257" s="2"/>
      <c r="B257" s="2"/>
      <c r="C257" s="2"/>
      <c r="D257" s="2"/>
    </row>
    <row r="258" ht="15.75" customHeight="1">
      <c r="A258" s="2"/>
      <c r="B258" s="2"/>
      <c r="C258" s="2"/>
      <c r="D258" s="2"/>
    </row>
    <row r="259" ht="15.75" customHeight="1">
      <c r="A259" s="2"/>
      <c r="B259" s="2"/>
      <c r="C259" s="2"/>
      <c r="D259" s="2"/>
    </row>
    <row r="260" ht="15.75" customHeight="1">
      <c r="A260" s="2"/>
      <c r="B260" s="2"/>
      <c r="C260" s="2"/>
      <c r="D260" s="2"/>
    </row>
    <row r="261" ht="15.75" customHeight="1">
      <c r="A261" s="2"/>
      <c r="B261" s="2"/>
      <c r="C261" s="2"/>
      <c r="D261" s="2"/>
    </row>
    <row r="262" ht="15.75" customHeight="1">
      <c r="A262" s="2"/>
      <c r="B262" s="2"/>
      <c r="C262" s="2"/>
      <c r="D262" s="2"/>
    </row>
    <row r="263" ht="15.75" customHeight="1">
      <c r="A263" s="2"/>
      <c r="B263" s="2"/>
      <c r="C263" s="2"/>
      <c r="D263" s="2"/>
    </row>
    <row r="264" ht="15.75" customHeight="1">
      <c r="A264" s="2"/>
      <c r="B264" s="2"/>
      <c r="C264" s="2"/>
      <c r="D264" s="2"/>
    </row>
    <row r="265" ht="15.75" customHeight="1">
      <c r="A265" s="2"/>
      <c r="B265" s="2"/>
      <c r="C265" s="2"/>
      <c r="D265" s="2"/>
    </row>
    <row r="266" ht="15.75" customHeight="1">
      <c r="A266" s="2"/>
      <c r="B266" s="2"/>
      <c r="C266" s="2"/>
      <c r="D266" s="2"/>
    </row>
    <row r="267" ht="15.75" customHeight="1">
      <c r="A267" s="2"/>
      <c r="B267" s="2"/>
      <c r="C267" s="2"/>
      <c r="D267" s="2"/>
    </row>
    <row r="268" ht="15.75" customHeight="1">
      <c r="A268" s="2"/>
      <c r="B268" s="2"/>
      <c r="C268" s="2"/>
      <c r="D268" s="2"/>
    </row>
    <row r="269" ht="15.75" customHeight="1">
      <c r="A269" s="2"/>
      <c r="B269" s="2"/>
      <c r="C269" s="2"/>
      <c r="D269" s="2"/>
    </row>
    <row r="270" ht="15.75" customHeight="1">
      <c r="A270" s="2"/>
      <c r="B270" s="2"/>
      <c r="C270" s="2"/>
      <c r="D270" s="2"/>
    </row>
    <row r="271" ht="15.75" customHeight="1">
      <c r="A271" s="2"/>
      <c r="B271" s="2"/>
      <c r="C271" s="2"/>
      <c r="D271" s="2"/>
    </row>
    <row r="272" ht="15.75" customHeight="1">
      <c r="A272" s="2"/>
      <c r="B272" s="2"/>
      <c r="C272" s="2"/>
      <c r="D272" s="2"/>
    </row>
    <row r="273" ht="15.75" customHeight="1">
      <c r="A273" s="2"/>
      <c r="B273" s="2"/>
      <c r="C273" s="2"/>
      <c r="D273" s="2"/>
    </row>
    <row r="274" ht="15.75" customHeight="1">
      <c r="A274" s="2"/>
      <c r="B274" s="2"/>
      <c r="C274" s="2"/>
      <c r="D274" s="2"/>
    </row>
    <row r="275" ht="15.75" customHeight="1">
      <c r="A275" s="2"/>
      <c r="B275" s="2"/>
      <c r="C275" s="2"/>
      <c r="D275" s="2"/>
    </row>
    <row r="276" ht="15.75" customHeight="1">
      <c r="A276" s="2"/>
      <c r="B276" s="2"/>
      <c r="C276" s="2"/>
      <c r="D276" s="2"/>
    </row>
    <row r="277" ht="15.75" customHeight="1">
      <c r="A277" s="2"/>
      <c r="B277" s="2"/>
      <c r="C277" s="2"/>
      <c r="D277" s="2"/>
    </row>
    <row r="278" ht="15.75" customHeight="1">
      <c r="A278" s="2"/>
      <c r="B278" s="2"/>
      <c r="C278" s="2"/>
      <c r="D278" s="2"/>
    </row>
    <row r="279" ht="15.75" customHeight="1">
      <c r="A279" s="2"/>
      <c r="B279" s="2"/>
      <c r="C279" s="2"/>
      <c r="D279" s="2"/>
    </row>
    <row r="280" ht="15.75" customHeight="1">
      <c r="A280" s="2"/>
      <c r="B280" s="2"/>
      <c r="C280" s="2"/>
      <c r="D280" s="2"/>
    </row>
    <row r="281" ht="15.75" customHeight="1">
      <c r="A281" s="2"/>
      <c r="B281" s="2"/>
      <c r="C281" s="2"/>
      <c r="D281" s="2"/>
    </row>
    <row r="282" ht="15.75" customHeight="1">
      <c r="A282" s="2"/>
      <c r="B282" s="2"/>
      <c r="C282" s="2"/>
      <c r="D282" s="2"/>
    </row>
    <row r="283" ht="15.75" customHeight="1">
      <c r="A283" s="2"/>
      <c r="B283" s="2"/>
      <c r="C283" s="2"/>
      <c r="D283" s="2"/>
    </row>
    <row r="284" ht="15.75" customHeight="1">
      <c r="A284" s="2"/>
      <c r="B284" s="2"/>
      <c r="C284" s="2"/>
      <c r="D284" s="2"/>
    </row>
    <row r="285" ht="15.75" customHeight="1">
      <c r="A285" s="2"/>
      <c r="B285" s="2"/>
      <c r="C285" s="2"/>
      <c r="D285" s="2"/>
    </row>
    <row r="286" ht="15.75" customHeight="1">
      <c r="A286" s="2"/>
      <c r="B286" s="2"/>
      <c r="C286" s="2"/>
      <c r="D286" s="2"/>
    </row>
    <row r="287" ht="15.75" customHeight="1">
      <c r="A287" s="2"/>
      <c r="B287" s="2"/>
      <c r="C287" s="2"/>
      <c r="D287" s="2"/>
    </row>
    <row r="288" ht="15.75" customHeight="1">
      <c r="A288" s="2"/>
      <c r="B288" s="2"/>
      <c r="C288" s="2"/>
      <c r="D288" s="2"/>
    </row>
    <row r="289" ht="15.75" customHeight="1">
      <c r="A289" s="2"/>
      <c r="B289" s="2"/>
      <c r="C289" s="2"/>
      <c r="D289" s="2"/>
    </row>
    <row r="290" ht="15.75" customHeight="1">
      <c r="A290" s="2"/>
      <c r="B290" s="2"/>
      <c r="C290" s="2"/>
      <c r="D290" s="2"/>
    </row>
    <row r="291" ht="15.75" customHeight="1">
      <c r="A291" s="2"/>
      <c r="B291" s="2"/>
      <c r="C291" s="2"/>
      <c r="D291" s="2"/>
    </row>
    <row r="292" ht="15.75" customHeight="1">
      <c r="A292" s="2"/>
      <c r="B292" s="2"/>
      <c r="C292" s="2"/>
      <c r="D292" s="2"/>
    </row>
    <row r="293" ht="15.75" customHeight="1">
      <c r="A293" s="2"/>
      <c r="B293" s="2"/>
      <c r="C293" s="2"/>
      <c r="D293" s="2"/>
    </row>
    <row r="294" ht="15.75" customHeight="1">
      <c r="A294" s="2"/>
      <c r="B294" s="2"/>
      <c r="C294" s="2"/>
      <c r="D294" s="2"/>
    </row>
    <row r="295" ht="15.75" customHeight="1">
      <c r="A295" s="2"/>
      <c r="B295" s="2"/>
      <c r="C295" s="2"/>
      <c r="D295" s="2"/>
    </row>
    <row r="296" ht="15.75" customHeight="1">
      <c r="A296" s="2"/>
      <c r="B296" s="2"/>
      <c r="C296" s="2"/>
      <c r="D296" s="2"/>
    </row>
    <row r="297" ht="15.75" customHeight="1">
      <c r="A297" s="2"/>
      <c r="B297" s="2"/>
      <c r="C297" s="2"/>
      <c r="D297" s="2"/>
    </row>
    <row r="298" ht="15.75" customHeight="1">
      <c r="A298" s="2"/>
      <c r="B298" s="2"/>
      <c r="C298" s="2"/>
      <c r="D298" s="2"/>
    </row>
    <row r="299" ht="15.75" customHeight="1">
      <c r="A299" s="2"/>
      <c r="B299" s="2"/>
      <c r="C299" s="2"/>
      <c r="D299" s="2"/>
    </row>
    <row r="300" ht="15.75" customHeight="1">
      <c r="A300" s="2"/>
      <c r="B300" s="2"/>
      <c r="C300" s="2"/>
      <c r="D300" s="2"/>
    </row>
    <row r="301" ht="15.75" customHeight="1">
      <c r="A301" s="2"/>
      <c r="B301" s="2"/>
      <c r="C301" s="2"/>
      <c r="D301" s="2"/>
    </row>
    <row r="302" ht="15.75" customHeight="1">
      <c r="A302" s="2"/>
      <c r="B302" s="2"/>
      <c r="C302" s="2"/>
      <c r="D302" s="2"/>
    </row>
    <row r="303" ht="15.75" customHeight="1">
      <c r="A303" s="2"/>
      <c r="B303" s="2"/>
      <c r="C303" s="2"/>
      <c r="D303" s="2"/>
    </row>
    <row r="304" ht="15.75" customHeight="1">
      <c r="A304" s="2"/>
      <c r="B304" s="2"/>
      <c r="C304" s="2"/>
      <c r="D304" s="2"/>
    </row>
    <row r="305" ht="15.75" customHeight="1">
      <c r="A305" s="2"/>
      <c r="B305" s="2"/>
      <c r="C305" s="2"/>
      <c r="D305" s="2"/>
    </row>
    <row r="306" ht="15.75" customHeight="1">
      <c r="A306" s="2"/>
      <c r="B306" s="2"/>
      <c r="C306" s="2"/>
      <c r="D306" s="2"/>
    </row>
    <row r="307" ht="15.75" customHeight="1">
      <c r="A307" s="2"/>
      <c r="B307" s="2"/>
      <c r="C307" s="2"/>
      <c r="D307" s="2"/>
    </row>
    <row r="308" ht="15.75" customHeight="1">
      <c r="A308" s="2"/>
      <c r="B308" s="2"/>
      <c r="C308" s="2"/>
      <c r="D308" s="2"/>
    </row>
    <row r="309" ht="15.75" customHeight="1">
      <c r="A309" s="2"/>
      <c r="B309" s="2"/>
      <c r="C309" s="2"/>
      <c r="D309" s="2"/>
    </row>
    <row r="310" ht="15.75" customHeight="1">
      <c r="A310" s="2"/>
      <c r="B310" s="2"/>
      <c r="C310" s="2"/>
      <c r="D310" s="2"/>
    </row>
    <row r="311" ht="15.75" customHeight="1">
      <c r="A311" s="2"/>
      <c r="B311" s="2"/>
      <c r="C311" s="2"/>
      <c r="D311" s="2"/>
    </row>
    <row r="312" ht="15.75" customHeight="1">
      <c r="A312" s="2"/>
      <c r="B312" s="2"/>
      <c r="C312" s="2"/>
      <c r="D312" s="2"/>
    </row>
    <row r="313" ht="15.75" customHeight="1">
      <c r="A313" s="2"/>
      <c r="B313" s="2"/>
      <c r="C313" s="2"/>
      <c r="D313" s="2"/>
    </row>
    <row r="314" ht="15.75" customHeight="1">
      <c r="A314" s="2"/>
      <c r="B314" s="2"/>
      <c r="C314" s="2"/>
      <c r="D314" s="2"/>
    </row>
    <row r="315" ht="15.75" customHeight="1">
      <c r="A315" s="2"/>
      <c r="B315" s="2"/>
      <c r="C315" s="2"/>
      <c r="D315" s="2"/>
    </row>
    <row r="316" ht="15.75" customHeight="1">
      <c r="A316" s="2"/>
      <c r="B316" s="2"/>
      <c r="C316" s="2"/>
      <c r="D316" s="2"/>
    </row>
    <row r="317" ht="15.75" customHeight="1">
      <c r="A317" s="2"/>
      <c r="B317" s="2"/>
      <c r="C317" s="2"/>
      <c r="D317" s="2"/>
    </row>
    <row r="318" ht="15.75" customHeight="1">
      <c r="A318" s="2"/>
      <c r="B318" s="2"/>
      <c r="C318" s="2"/>
      <c r="D318" s="2"/>
    </row>
    <row r="319" ht="15.75" customHeight="1">
      <c r="A319" s="2"/>
      <c r="B319" s="2"/>
      <c r="C319" s="2"/>
      <c r="D319" s="2"/>
    </row>
    <row r="320" ht="15.75" customHeight="1">
      <c r="A320" s="2"/>
      <c r="B320" s="2"/>
      <c r="C320" s="2"/>
      <c r="D320" s="2"/>
    </row>
    <row r="321" ht="15.75" customHeight="1">
      <c r="A321" s="2"/>
      <c r="B321" s="2"/>
      <c r="C321" s="2"/>
      <c r="D321" s="2"/>
    </row>
    <row r="322" ht="15.75" customHeight="1">
      <c r="A322" s="2"/>
      <c r="B322" s="2"/>
      <c r="C322" s="2"/>
      <c r="D322" s="2"/>
    </row>
    <row r="323" ht="15.75" customHeight="1">
      <c r="A323" s="2"/>
      <c r="B323" s="2"/>
      <c r="C323" s="2"/>
      <c r="D323" s="2"/>
    </row>
    <row r="324" ht="15.75" customHeight="1">
      <c r="A324" s="2"/>
      <c r="B324" s="2"/>
      <c r="C324" s="2"/>
      <c r="D324" s="2"/>
    </row>
    <row r="325" ht="15.75" customHeight="1">
      <c r="A325" s="2"/>
      <c r="B325" s="2"/>
      <c r="C325" s="2"/>
      <c r="D325" s="2"/>
    </row>
    <row r="326" ht="15.75" customHeight="1">
      <c r="A326" s="2"/>
      <c r="B326" s="2"/>
      <c r="C326" s="2"/>
      <c r="D326" s="2"/>
    </row>
    <row r="327" ht="15.75" customHeight="1">
      <c r="A327" s="2"/>
      <c r="B327" s="2"/>
      <c r="C327" s="2"/>
      <c r="D327" s="2"/>
    </row>
    <row r="328" ht="15.75" customHeight="1">
      <c r="A328" s="2"/>
      <c r="B328" s="2"/>
      <c r="C328" s="2"/>
      <c r="D328" s="2"/>
    </row>
    <row r="329" ht="15.75" customHeight="1">
      <c r="A329" s="2"/>
      <c r="B329" s="2"/>
      <c r="C329" s="2"/>
      <c r="D329" s="2"/>
    </row>
    <row r="330" ht="15.75" customHeight="1">
      <c r="A330" s="2"/>
      <c r="B330" s="2"/>
      <c r="C330" s="2"/>
      <c r="D330" s="2"/>
    </row>
    <row r="331" ht="15.75" customHeight="1">
      <c r="A331" s="2"/>
      <c r="B331" s="2"/>
      <c r="C331" s="2"/>
      <c r="D331" s="2"/>
    </row>
    <row r="332" ht="15.75" customHeight="1">
      <c r="A332" s="2"/>
      <c r="B332" s="2"/>
      <c r="C332" s="2"/>
      <c r="D332" s="2"/>
    </row>
    <row r="333" ht="15.75" customHeight="1">
      <c r="A333" s="2"/>
      <c r="B333" s="2"/>
      <c r="C333" s="2"/>
      <c r="D333" s="2"/>
    </row>
    <row r="334" ht="15.75" customHeight="1">
      <c r="A334" s="2"/>
      <c r="B334" s="2"/>
      <c r="C334" s="2"/>
      <c r="D334" s="2"/>
    </row>
    <row r="335" ht="15.75" customHeight="1">
      <c r="A335" s="2"/>
      <c r="B335" s="2"/>
      <c r="C335" s="2"/>
      <c r="D335" s="2"/>
    </row>
    <row r="336" ht="15.75" customHeight="1">
      <c r="A336" s="2"/>
      <c r="B336" s="2"/>
      <c r="C336" s="2"/>
      <c r="D336" s="2"/>
    </row>
    <row r="337" ht="15.75" customHeight="1">
      <c r="A337" s="2"/>
      <c r="B337" s="2"/>
      <c r="C337" s="2"/>
      <c r="D337" s="2"/>
    </row>
    <row r="338" ht="15.75" customHeight="1">
      <c r="A338" s="2"/>
      <c r="B338" s="2"/>
      <c r="C338" s="2"/>
      <c r="D338" s="2"/>
    </row>
    <row r="339" ht="15.75" customHeight="1">
      <c r="A339" s="2"/>
      <c r="B339" s="2"/>
      <c r="C339" s="2"/>
      <c r="D339" s="2"/>
    </row>
    <row r="340" ht="15.75" customHeight="1">
      <c r="A340" s="2"/>
      <c r="B340" s="2"/>
      <c r="C340" s="2"/>
      <c r="D340" s="2"/>
    </row>
    <row r="341" ht="15.75" customHeight="1">
      <c r="A341" s="2"/>
      <c r="B341" s="2"/>
      <c r="C341" s="2"/>
      <c r="D341" s="2"/>
    </row>
    <row r="342" ht="15.75" customHeight="1">
      <c r="A342" s="2"/>
      <c r="B342" s="2"/>
      <c r="C342" s="2"/>
      <c r="D342" s="2"/>
    </row>
    <row r="343" ht="15.75" customHeight="1">
      <c r="A343" s="2"/>
      <c r="B343" s="2"/>
      <c r="C343" s="2"/>
      <c r="D343" s="2"/>
    </row>
    <row r="344" ht="15.75" customHeight="1">
      <c r="A344" s="2"/>
      <c r="B344" s="2"/>
      <c r="C344" s="2"/>
      <c r="D344" s="2"/>
    </row>
    <row r="345" ht="15.75" customHeight="1">
      <c r="A345" s="2"/>
      <c r="B345" s="2"/>
      <c r="C345" s="2"/>
      <c r="D345" s="2"/>
    </row>
    <row r="346" ht="15.75" customHeight="1">
      <c r="A346" s="2"/>
      <c r="B346" s="2"/>
      <c r="C346" s="2"/>
      <c r="D346" s="2"/>
    </row>
    <row r="347" ht="15.75" customHeight="1">
      <c r="A347" s="2"/>
      <c r="B347" s="2"/>
      <c r="C347" s="2"/>
      <c r="D347" s="2"/>
    </row>
    <row r="348" ht="15.75" customHeight="1">
      <c r="A348" s="2"/>
      <c r="B348" s="2"/>
      <c r="C348" s="2"/>
      <c r="D348" s="2"/>
    </row>
    <row r="349" ht="15.75" customHeight="1">
      <c r="A349" s="2"/>
      <c r="B349" s="2"/>
      <c r="C349" s="2"/>
      <c r="D349" s="2"/>
    </row>
    <row r="350" ht="15.75" customHeight="1">
      <c r="A350" s="2"/>
      <c r="B350" s="2"/>
      <c r="C350" s="2"/>
      <c r="D350" s="2"/>
    </row>
    <row r="351" ht="15.75" customHeight="1">
      <c r="A351" s="2"/>
      <c r="B351" s="2"/>
      <c r="C351" s="2"/>
      <c r="D351" s="2"/>
    </row>
    <row r="352" ht="15.75" customHeight="1">
      <c r="A352" s="2"/>
      <c r="B352" s="2"/>
      <c r="C352" s="2"/>
      <c r="D352" s="2"/>
    </row>
    <row r="353" ht="15.75" customHeight="1">
      <c r="A353" s="2"/>
      <c r="B353" s="2"/>
      <c r="C353" s="2"/>
      <c r="D353" s="2"/>
    </row>
    <row r="354" ht="15.75" customHeight="1">
      <c r="A354" s="2"/>
      <c r="B354" s="2"/>
      <c r="C354" s="2"/>
      <c r="D354" s="2"/>
    </row>
    <row r="355" ht="15.75" customHeight="1">
      <c r="A355" s="2"/>
      <c r="B355" s="2"/>
      <c r="C355" s="2"/>
      <c r="D355" s="2"/>
    </row>
    <row r="356" ht="15.75" customHeight="1">
      <c r="A356" s="2"/>
      <c r="B356" s="2"/>
      <c r="C356" s="2"/>
      <c r="D356" s="2"/>
    </row>
    <row r="357" ht="15.75" customHeight="1">
      <c r="A357" s="2"/>
      <c r="B357" s="2"/>
      <c r="C357" s="2"/>
      <c r="D357" s="2"/>
    </row>
    <row r="358" ht="15.75" customHeight="1">
      <c r="A358" s="2"/>
      <c r="B358" s="2"/>
      <c r="C358" s="2"/>
      <c r="D358" s="2"/>
    </row>
    <row r="359" ht="15.75" customHeight="1">
      <c r="A359" s="2"/>
      <c r="B359" s="2"/>
      <c r="C359" s="2"/>
      <c r="D359" s="2"/>
    </row>
    <row r="360" ht="15.75" customHeight="1">
      <c r="A360" s="2"/>
      <c r="B360" s="2"/>
      <c r="C360" s="2"/>
      <c r="D360" s="2"/>
    </row>
    <row r="361" ht="15.75" customHeight="1">
      <c r="A361" s="2"/>
      <c r="B361" s="2"/>
      <c r="C361" s="2"/>
      <c r="D361" s="2"/>
    </row>
    <row r="362" ht="15.75" customHeight="1">
      <c r="A362" s="2"/>
      <c r="B362" s="2"/>
      <c r="C362" s="2"/>
      <c r="D362" s="2"/>
    </row>
    <row r="363" ht="15.75" customHeight="1">
      <c r="A363" s="2"/>
      <c r="B363" s="2"/>
      <c r="C363" s="2"/>
      <c r="D363" s="2"/>
    </row>
    <row r="364" ht="15.75" customHeight="1">
      <c r="A364" s="2"/>
      <c r="B364" s="2"/>
      <c r="C364" s="2"/>
      <c r="D364" s="2"/>
    </row>
    <row r="365" ht="15.75" customHeight="1">
      <c r="A365" s="2"/>
      <c r="B365" s="2"/>
      <c r="C365" s="2"/>
      <c r="D365" s="2"/>
    </row>
    <row r="366" ht="15.75" customHeight="1">
      <c r="A366" s="2"/>
      <c r="B366" s="2"/>
      <c r="C366" s="2"/>
      <c r="D366" s="2"/>
    </row>
    <row r="367" ht="15.75" customHeight="1">
      <c r="A367" s="2"/>
      <c r="B367" s="2"/>
      <c r="C367" s="2"/>
      <c r="D367" s="2"/>
    </row>
    <row r="368" ht="15.75" customHeight="1">
      <c r="A368" s="2"/>
      <c r="B368" s="2"/>
      <c r="C368" s="2"/>
      <c r="D368" s="2"/>
    </row>
    <row r="369" ht="15.75" customHeight="1">
      <c r="A369" s="2"/>
      <c r="B369" s="2"/>
      <c r="C369" s="2"/>
      <c r="D369" s="2"/>
    </row>
    <row r="370" ht="15.75" customHeight="1">
      <c r="A370" s="2"/>
      <c r="B370" s="2"/>
      <c r="C370" s="2"/>
      <c r="D370" s="2"/>
    </row>
    <row r="371" ht="15.75" customHeight="1">
      <c r="A371" s="2"/>
      <c r="B371" s="2"/>
      <c r="C371" s="2"/>
      <c r="D371" s="2"/>
    </row>
    <row r="372" ht="15.75" customHeight="1">
      <c r="A372" s="2"/>
      <c r="B372" s="2"/>
      <c r="C372" s="2"/>
      <c r="D372" s="2"/>
    </row>
    <row r="373" ht="15.75" customHeight="1">
      <c r="A373" s="2"/>
      <c r="B373" s="2"/>
      <c r="C373" s="2"/>
      <c r="D373" s="2"/>
    </row>
    <row r="374" ht="15.75" customHeight="1">
      <c r="A374" s="2"/>
      <c r="B374" s="2"/>
      <c r="C374" s="2"/>
      <c r="D374" s="2"/>
    </row>
    <row r="375" ht="15.75" customHeight="1">
      <c r="A375" s="2"/>
      <c r="B375" s="2"/>
      <c r="C375" s="2"/>
      <c r="D375" s="2"/>
    </row>
    <row r="376" ht="15.75" customHeight="1">
      <c r="A376" s="2"/>
      <c r="B376" s="2"/>
      <c r="C376" s="2"/>
      <c r="D376" s="2"/>
    </row>
    <row r="377" ht="15.75" customHeight="1">
      <c r="A377" s="2"/>
      <c r="B377" s="2"/>
      <c r="C377" s="2"/>
      <c r="D377" s="2"/>
    </row>
    <row r="378" ht="15.75" customHeight="1">
      <c r="A378" s="2"/>
      <c r="B378" s="2"/>
      <c r="C378" s="2"/>
      <c r="D378" s="2"/>
    </row>
    <row r="379" ht="15.75" customHeight="1">
      <c r="A379" s="2"/>
      <c r="B379" s="2"/>
      <c r="C379" s="2"/>
      <c r="D379" s="2"/>
    </row>
    <row r="380" ht="15.75" customHeight="1">
      <c r="A380" s="2"/>
      <c r="B380" s="2"/>
      <c r="C380" s="2"/>
      <c r="D380" s="2"/>
    </row>
    <row r="381" ht="15.75" customHeight="1">
      <c r="A381" s="2"/>
      <c r="B381" s="2"/>
      <c r="C381" s="2"/>
      <c r="D381" s="2"/>
    </row>
    <row r="382" ht="15.75" customHeight="1">
      <c r="A382" s="2"/>
      <c r="B382" s="2"/>
      <c r="C382" s="2"/>
      <c r="D382" s="2"/>
    </row>
    <row r="383" ht="15.75" customHeight="1">
      <c r="A383" s="2"/>
      <c r="B383" s="2"/>
      <c r="C383" s="2"/>
      <c r="D383" s="2"/>
    </row>
    <row r="384" ht="15.75" customHeight="1">
      <c r="A384" s="2"/>
      <c r="B384" s="2"/>
      <c r="C384" s="2"/>
      <c r="D384" s="2"/>
    </row>
    <row r="385" ht="15.75" customHeight="1">
      <c r="A385" s="2"/>
      <c r="B385" s="2"/>
      <c r="C385" s="2"/>
      <c r="D385" s="2"/>
    </row>
    <row r="386" ht="15.75" customHeight="1">
      <c r="A386" s="2"/>
      <c r="B386" s="2"/>
      <c r="C386" s="2"/>
      <c r="D386" s="2"/>
    </row>
    <row r="387" ht="15.75" customHeight="1">
      <c r="A387" s="2"/>
      <c r="B387" s="2"/>
      <c r="C387" s="2"/>
      <c r="D387" s="2"/>
    </row>
    <row r="388" ht="15.75" customHeight="1">
      <c r="A388" s="2"/>
      <c r="B388" s="2"/>
      <c r="C388" s="2"/>
      <c r="D388" s="2"/>
    </row>
    <row r="389" ht="15.75" customHeight="1">
      <c r="A389" s="2"/>
      <c r="B389" s="2"/>
      <c r="C389" s="2"/>
      <c r="D389" s="2"/>
    </row>
    <row r="390" ht="15.75" customHeight="1">
      <c r="A390" s="2"/>
      <c r="B390" s="2"/>
      <c r="C390" s="2"/>
      <c r="D390" s="2"/>
    </row>
    <row r="391" ht="15.75" customHeight="1">
      <c r="A391" s="2"/>
      <c r="B391" s="2"/>
      <c r="C391" s="2"/>
      <c r="D391" s="2"/>
    </row>
    <row r="392" ht="15.75" customHeight="1">
      <c r="A392" s="2"/>
      <c r="B392" s="2"/>
      <c r="C392" s="2"/>
      <c r="D392" s="2"/>
    </row>
    <row r="393" ht="15.75" customHeight="1">
      <c r="A393" s="2"/>
      <c r="B393" s="2"/>
      <c r="C393" s="2"/>
      <c r="D393" s="2"/>
    </row>
    <row r="394" ht="15.75" customHeight="1">
      <c r="A394" s="2"/>
      <c r="B394" s="2"/>
      <c r="C394" s="2"/>
      <c r="D394" s="2"/>
    </row>
    <row r="395" ht="15.75" customHeight="1">
      <c r="A395" s="2"/>
      <c r="B395" s="2"/>
      <c r="C395" s="2"/>
      <c r="D395" s="2"/>
    </row>
    <row r="396" ht="15.75" customHeight="1">
      <c r="A396" s="2"/>
      <c r="B396" s="2"/>
      <c r="C396" s="2"/>
      <c r="D396" s="2"/>
    </row>
    <row r="397" ht="15.75" customHeight="1">
      <c r="A397" s="2"/>
      <c r="B397" s="2"/>
      <c r="C397" s="2"/>
      <c r="D397" s="2"/>
    </row>
    <row r="398" ht="15.75" customHeight="1">
      <c r="A398" s="2"/>
      <c r="B398" s="2"/>
      <c r="C398" s="2"/>
      <c r="D398" s="2"/>
    </row>
    <row r="399" ht="15.75" customHeight="1">
      <c r="A399" s="2"/>
      <c r="B399" s="2"/>
      <c r="C399" s="2"/>
      <c r="D399" s="2"/>
    </row>
    <row r="400" ht="15.75" customHeight="1">
      <c r="A400" s="2"/>
      <c r="B400" s="2"/>
      <c r="C400" s="2"/>
      <c r="D400" s="2"/>
    </row>
    <row r="401" ht="15.75" customHeight="1">
      <c r="A401" s="2"/>
      <c r="B401" s="2"/>
      <c r="C401" s="2"/>
      <c r="D401" s="2"/>
    </row>
    <row r="402" ht="15.75" customHeight="1">
      <c r="A402" s="2"/>
      <c r="B402" s="2"/>
      <c r="C402" s="2"/>
      <c r="D402" s="2"/>
    </row>
    <row r="403" ht="15.75" customHeight="1">
      <c r="A403" s="2"/>
      <c r="B403" s="2"/>
      <c r="C403" s="2"/>
      <c r="D403" s="2"/>
    </row>
    <row r="404" ht="15.75" customHeight="1">
      <c r="A404" s="2"/>
      <c r="B404" s="2"/>
      <c r="C404" s="2"/>
      <c r="D404" s="2"/>
    </row>
    <row r="405" ht="15.75" customHeight="1">
      <c r="A405" s="2"/>
      <c r="B405" s="2"/>
      <c r="C405" s="2"/>
      <c r="D405" s="2"/>
    </row>
    <row r="406" ht="15.75" customHeight="1">
      <c r="A406" s="2"/>
      <c r="B406" s="2"/>
      <c r="C406" s="2"/>
      <c r="D406" s="2"/>
    </row>
    <row r="407" ht="15.75" customHeight="1">
      <c r="A407" s="2"/>
      <c r="B407" s="2"/>
      <c r="C407" s="2"/>
      <c r="D407" s="2"/>
    </row>
    <row r="408" ht="15.75" customHeight="1">
      <c r="A408" s="2"/>
      <c r="B408" s="2"/>
      <c r="C408" s="2"/>
      <c r="D408" s="2"/>
    </row>
    <row r="409" ht="15.75" customHeight="1">
      <c r="A409" s="2"/>
      <c r="B409" s="2"/>
      <c r="C409" s="2"/>
      <c r="D409" s="2"/>
    </row>
    <row r="410" ht="15.75" customHeight="1">
      <c r="A410" s="2"/>
      <c r="B410" s="2"/>
      <c r="C410" s="2"/>
      <c r="D410" s="2"/>
    </row>
    <row r="411" ht="15.75" customHeight="1">
      <c r="A411" s="2"/>
      <c r="B411" s="2"/>
      <c r="C411" s="2"/>
      <c r="D411" s="2"/>
    </row>
    <row r="412" ht="15.75" customHeight="1">
      <c r="A412" s="2"/>
      <c r="B412" s="2"/>
      <c r="C412" s="2"/>
      <c r="D412" s="2"/>
    </row>
    <row r="413" ht="15.75" customHeight="1">
      <c r="A413" s="2"/>
      <c r="B413" s="2"/>
      <c r="C413" s="2"/>
      <c r="D413" s="2"/>
    </row>
    <row r="414" ht="15.75" customHeight="1">
      <c r="A414" s="2"/>
      <c r="B414" s="2"/>
      <c r="C414" s="2"/>
      <c r="D414" s="2"/>
    </row>
    <row r="415" ht="15.75" customHeight="1">
      <c r="A415" s="2"/>
      <c r="B415" s="2"/>
      <c r="C415" s="2"/>
      <c r="D415" s="2"/>
    </row>
    <row r="416" ht="15.75" customHeight="1">
      <c r="A416" s="2"/>
      <c r="B416" s="2"/>
      <c r="C416" s="2"/>
      <c r="D416" s="2"/>
    </row>
    <row r="417" ht="15.75" customHeight="1">
      <c r="A417" s="2"/>
      <c r="B417" s="2"/>
      <c r="C417" s="2"/>
      <c r="D417" s="2"/>
    </row>
    <row r="418" ht="15.75" customHeight="1">
      <c r="A418" s="2"/>
      <c r="B418" s="2"/>
      <c r="C418" s="2"/>
      <c r="D418" s="2"/>
    </row>
    <row r="419" ht="15.75" customHeight="1">
      <c r="A419" s="2"/>
      <c r="B419" s="2"/>
      <c r="C419" s="2"/>
      <c r="D419" s="2"/>
    </row>
    <row r="420" ht="15.75" customHeight="1">
      <c r="A420" s="2"/>
      <c r="B420" s="2"/>
      <c r="C420" s="2"/>
      <c r="D420" s="2"/>
    </row>
    <row r="421" ht="15.75" customHeight="1">
      <c r="A421" s="2"/>
      <c r="B421" s="2"/>
      <c r="C421" s="2"/>
      <c r="D421" s="2"/>
    </row>
    <row r="422" ht="15.75" customHeight="1">
      <c r="A422" s="2"/>
      <c r="B422" s="2"/>
      <c r="C422" s="2"/>
      <c r="D422" s="2"/>
    </row>
    <row r="423" ht="15.75" customHeight="1">
      <c r="A423" s="2"/>
      <c r="B423" s="2"/>
      <c r="C423" s="2"/>
      <c r="D423" s="2"/>
    </row>
    <row r="424" ht="15.75" customHeight="1">
      <c r="A424" s="2"/>
      <c r="B424" s="2"/>
      <c r="C424" s="2"/>
      <c r="D424" s="2"/>
    </row>
    <row r="425" ht="15.75" customHeight="1">
      <c r="A425" s="2"/>
      <c r="B425" s="2"/>
      <c r="C425" s="2"/>
      <c r="D425" s="2"/>
    </row>
    <row r="426" ht="15.75" customHeight="1">
      <c r="A426" s="2"/>
      <c r="B426" s="2"/>
      <c r="C426" s="2"/>
      <c r="D426" s="2"/>
    </row>
    <row r="427" ht="15.75" customHeight="1">
      <c r="A427" s="2"/>
      <c r="B427" s="2"/>
      <c r="C427" s="2"/>
      <c r="D427" s="2"/>
    </row>
    <row r="428" ht="15.75" customHeight="1">
      <c r="A428" s="2"/>
      <c r="B428" s="2"/>
      <c r="C428" s="2"/>
      <c r="D428" s="2"/>
    </row>
    <row r="429" ht="15.75" customHeight="1">
      <c r="A429" s="2"/>
      <c r="B429" s="2"/>
      <c r="C429" s="2"/>
      <c r="D429" s="2"/>
    </row>
    <row r="430" ht="15.75" customHeight="1">
      <c r="A430" s="2"/>
      <c r="B430" s="2"/>
      <c r="C430" s="2"/>
      <c r="D430" s="2"/>
    </row>
    <row r="431" ht="15.75" customHeight="1">
      <c r="A431" s="2"/>
      <c r="B431" s="2"/>
      <c r="C431" s="2"/>
      <c r="D431" s="2"/>
    </row>
    <row r="432" ht="15.75" customHeight="1">
      <c r="A432" s="2"/>
      <c r="B432" s="2"/>
      <c r="C432" s="2"/>
      <c r="D432" s="2"/>
    </row>
    <row r="433" ht="15.75" customHeight="1">
      <c r="A433" s="2"/>
      <c r="B433" s="2"/>
      <c r="C433" s="2"/>
      <c r="D433" s="2"/>
    </row>
    <row r="434" ht="15.75" customHeight="1">
      <c r="A434" s="2"/>
      <c r="B434" s="2"/>
      <c r="C434" s="2"/>
      <c r="D434" s="2"/>
    </row>
    <row r="435" ht="15.75" customHeight="1">
      <c r="A435" s="2"/>
      <c r="B435" s="2"/>
      <c r="C435" s="2"/>
      <c r="D435" s="2"/>
    </row>
    <row r="436" ht="15.75" customHeight="1">
      <c r="A436" s="2"/>
      <c r="B436" s="2"/>
      <c r="C436" s="2"/>
      <c r="D436" s="2"/>
    </row>
    <row r="437" ht="15.75" customHeight="1">
      <c r="A437" s="2"/>
      <c r="B437" s="2"/>
      <c r="C437" s="2"/>
      <c r="D437" s="2"/>
    </row>
    <row r="438" ht="15.75" customHeight="1">
      <c r="A438" s="2"/>
      <c r="B438" s="2"/>
      <c r="C438" s="2"/>
      <c r="D438" s="2"/>
    </row>
    <row r="439" ht="15.75" customHeight="1">
      <c r="A439" s="2"/>
      <c r="B439" s="2"/>
      <c r="C439" s="2"/>
      <c r="D439" s="2"/>
    </row>
    <row r="440" ht="15.75" customHeight="1">
      <c r="A440" s="2"/>
      <c r="B440" s="2"/>
      <c r="C440" s="2"/>
      <c r="D440" s="2"/>
    </row>
    <row r="441" ht="15.75" customHeight="1">
      <c r="A441" s="2"/>
      <c r="B441" s="2"/>
      <c r="C441" s="2"/>
      <c r="D441" s="2"/>
    </row>
    <row r="442" ht="15.75" customHeight="1">
      <c r="A442" s="2"/>
      <c r="B442" s="2"/>
      <c r="C442" s="2"/>
      <c r="D442" s="2"/>
    </row>
    <row r="443" ht="15.75" customHeight="1">
      <c r="A443" s="2"/>
      <c r="B443" s="2"/>
      <c r="C443" s="2"/>
      <c r="D443" s="2"/>
    </row>
    <row r="444" ht="15.75" customHeight="1">
      <c r="A444" s="2"/>
      <c r="B444" s="2"/>
      <c r="C444" s="2"/>
      <c r="D444" s="2"/>
    </row>
    <row r="445" ht="15.75" customHeight="1">
      <c r="A445" s="2"/>
      <c r="B445" s="2"/>
      <c r="C445" s="2"/>
      <c r="D445" s="2"/>
    </row>
    <row r="446" ht="15.75" customHeight="1">
      <c r="A446" s="2"/>
      <c r="B446" s="2"/>
      <c r="C446" s="2"/>
      <c r="D446" s="2"/>
    </row>
    <row r="447" ht="15.75" customHeight="1">
      <c r="A447" s="2"/>
      <c r="B447" s="2"/>
      <c r="C447" s="2"/>
      <c r="D447" s="2"/>
    </row>
    <row r="448" ht="15.75" customHeight="1">
      <c r="A448" s="2"/>
      <c r="B448" s="2"/>
      <c r="C448" s="2"/>
      <c r="D448" s="2"/>
    </row>
    <row r="449" ht="15.75" customHeight="1">
      <c r="A449" s="2"/>
      <c r="B449" s="2"/>
      <c r="C449" s="2"/>
      <c r="D449" s="2"/>
    </row>
    <row r="450" ht="15.75" customHeight="1">
      <c r="A450" s="2"/>
      <c r="B450" s="2"/>
      <c r="C450" s="2"/>
      <c r="D450" s="2"/>
    </row>
    <row r="451" ht="15.75" customHeight="1">
      <c r="A451" s="2"/>
      <c r="B451" s="2"/>
      <c r="C451" s="2"/>
      <c r="D451" s="2"/>
    </row>
    <row r="452" ht="15.75" customHeight="1">
      <c r="A452" s="2"/>
      <c r="B452" s="2"/>
      <c r="C452" s="2"/>
      <c r="D452" s="2"/>
    </row>
    <row r="453" ht="15.75" customHeight="1">
      <c r="A453" s="2"/>
      <c r="B453" s="2"/>
      <c r="C453" s="2"/>
      <c r="D453" s="2"/>
    </row>
    <row r="454" ht="15.75" customHeight="1">
      <c r="A454" s="2"/>
      <c r="B454" s="2"/>
      <c r="C454" s="2"/>
      <c r="D454" s="2"/>
    </row>
    <row r="455" ht="15.75" customHeight="1">
      <c r="A455" s="2"/>
      <c r="B455" s="2"/>
      <c r="C455" s="2"/>
      <c r="D455" s="2"/>
    </row>
    <row r="456" ht="15.75" customHeight="1">
      <c r="A456" s="2"/>
      <c r="B456" s="2"/>
      <c r="C456" s="2"/>
      <c r="D456" s="2"/>
    </row>
    <row r="457" ht="15.75" customHeight="1">
      <c r="A457" s="2"/>
      <c r="B457" s="2"/>
      <c r="C457" s="2"/>
      <c r="D457" s="2"/>
    </row>
    <row r="458" ht="15.75" customHeight="1">
      <c r="A458" s="2"/>
      <c r="B458" s="2"/>
      <c r="C458" s="2"/>
      <c r="D458" s="2"/>
    </row>
    <row r="459" ht="15.75" customHeight="1">
      <c r="A459" s="2"/>
      <c r="B459" s="2"/>
      <c r="C459" s="2"/>
      <c r="D459" s="2"/>
    </row>
    <row r="460" ht="15.75" customHeight="1">
      <c r="A460" s="2"/>
      <c r="B460" s="2"/>
      <c r="C460" s="2"/>
      <c r="D460" s="2"/>
    </row>
    <row r="461" ht="15.75" customHeight="1">
      <c r="A461" s="2"/>
      <c r="B461" s="2"/>
      <c r="C461" s="2"/>
      <c r="D461" s="2"/>
    </row>
    <row r="462" ht="15.75" customHeight="1">
      <c r="A462" s="2"/>
      <c r="B462" s="2"/>
      <c r="C462" s="2"/>
      <c r="D462" s="2"/>
    </row>
    <row r="463" ht="15.75" customHeight="1">
      <c r="A463" s="2"/>
      <c r="B463" s="2"/>
      <c r="C463" s="2"/>
      <c r="D463" s="2"/>
    </row>
    <row r="464" ht="15.75" customHeight="1">
      <c r="A464" s="2"/>
      <c r="B464" s="2"/>
      <c r="C464" s="2"/>
      <c r="D464" s="2"/>
    </row>
    <row r="465" ht="15.75" customHeight="1">
      <c r="A465" s="2"/>
      <c r="B465" s="2"/>
      <c r="C465" s="2"/>
      <c r="D465" s="2"/>
    </row>
    <row r="466" ht="15.75" customHeight="1">
      <c r="A466" s="2"/>
      <c r="B466" s="2"/>
      <c r="C466" s="2"/>
      <c r="D466" s="2"/>
    </row>
    <row r="467" ht="15.75" customHeight="1">
      <c r="A467" s="2"/>
      <c r="B467" s="2"/>
      <c r="C467" s="2"/>
      <c r="D467" s="2"/>
    </row>
    <row r="468" ht="15.75" customHeight="1">
      <c r="A468" s="2"/>
      <c r="B468" s="2"/>
      <c r="C468" s="2"/>
      <c r="D468" s="2"/>
    </row>
    <row r="469" ht="15.75" customHeight="1">
      <c r="A469" s="2"/>
      <c r="B469" s="2"/>
      <c r="C469" s="2"/>
      <c r="D469" s="2"/>
    </row>
    <row r="470" ht="15.75" customHeight="1">
      <c r="A470" s="2"/>
      <c r="B470" s="2"/>
      <c r="C470" s="2"/>
      <c r="D470" s="2"/>
    </row>
    <row r="471" ht="15.75" customHeight="1">
      <c r="A471" s="2"/>
      <c r="B471" s="2"/>
      <c r="C471" s="2"/>
      <c r="D471" s="2"/>
    </row>
    <row r="472" ht="15.75" customHeight="1">
      <c r="A472" s="2"/>
      <c r="B472" s="2"/>
      <c r="C472" s="2"/>
      <c r="D472" s="2"/>
    </row>
    <row r="473" ht="15.75" customHeight="1">
      <c r="A473" s="2"/>
      <c r="B473" s="2"/>
      <c r="C473" s="2"/>
      <c r="D473" s="2"/>
    </row>
    <row r="474" ht="15.75" customHeight="1">
      <c r="A474" s="2"/>
      <c r="B474" s="2"/>
      <c r="C474" s="2"/>
      <c r="D474" s="2"/>
    </row>
    <row r="475" ht="15.75" customHeight="1">
      <c r="A475" s="2"/>
      <c r="B475" s="2"/>
      <c r="C475" s="2"/>
      <c r="D475" s="2"/>
    </row>
    <row r="476" ht="15.75" customHeight="1">
      <c r="A476" s="2"/>
      <c r="B476" s="2"/>
      <c r="C476" s="2"/>
      <c r="D476" s="2"/>
    </row>
    <row r="477" ht="15.75" customHeight="1">
      <c r="A477" s="2"/>
      <c r="B477" s="2"/>
      <c r="C477" s="2"/>
      <c r="D477" s="2"/>
    </row>
    <row r="478" ht="15.75" customHeight="1">
      <c r="A478" s="2"/>
      <c r="B478" s="2"/>
      <c r="C478" s="2"/>
      <c r="D478" s="2"/>
    </row>
    <row r="479" ht="15.75" customHeight="1">
      <c r="A479" s="2"/>
      <c r="B479" s="2"/>
      <c r="C479" s="2"/>
      <c r="D479" s="2"/>
    </row>
    <row r="480" ht="15.75" customHeight="1">
      <c r="A480" s="2"/>
      <c r="B480" s="2"/>
      <c r="C480" s="2"/>
      <c r="D480" s="2"/>
    </row>
    <row r="481" ht="15.75" customHeight="1">
      <c r="A481" s="2"/>
      <c r="B481" s="2"/>
      <c r="C481" s="2"/>
      <c r="D481" s="2"/>
    </row>
    <row r="482" ht="15.75" customHeight="1">
      <c r="A482" s="2"/>
      <c r="B482" s="2"/>
      <c r="C482" s="2"/>
      <c r="D482" s="2"/>
    </row>
    <row r="483" ht="15.75" customHeight="1">
      <c r="A483" s="2"/>
      <c r="B483" s="2"/>
      <c r="C483" s="2"/>
      <c r="D483" s="2"/>
    </row>
    <row r="484" ht="15.75" customHeight="1">
      <c r="A484" s="2"/>
      <c r="B484" s="2"/>
      <c r="C484" s="2"/>
      <c r="D484" s="2"/>
    </row>
    <row r="485" ht="15.75" customHeight="1">
      <c r="A485" s="2"/>
      <c r="B485" s="2"/>
      <c r="C485" s="2"/>
      <c r="D485" s="2"/>
    </row>
    <row r="486" ht="15.75" customHeight="1">
      <c r="A486" s="2"/>
      <c r="B486" s="2"/>
      <c r="C486" s="2"/>
      <c r="D486" s="2"/>
    </row>
    <row r="487" ht="15.75" customHeight="1">
      <c r="A487" s="2"/>
      <c r="B487" s="2"/>
      <c r="C487" s="2"/>
      <c r="D487" s="2"/>
    </row>
    <row r="488" ht="15.75" customHeight="1">
      <c r="A488" s="2"/>
      <c r="B488" s="2"/>
      <c r="C488" s="2"/>
      <c r="D488" s="2"/>
    </row>
    <row r="489" ht="15.75" customHeight="1">
      <c r="A489" s="2"/>
      <c r="B489" s="2"/>
      <c r="C489" s="2"/>
      <c r="D489" s="2"/>
    </row>
    <row r="490" ht="15.75" customHeight="1">
      <c r="A490" s="2"/>
      <c r="B490" s="2"/>
      <c r="C490" s="2"/>
      <c r="D490" s="2"/>
    </row>
    <row r="491" ht="15.75" customHeight="1">
      <c r="A491" s="2"/>
      <c r="B491" s="2"/>
      <c r="C491" s="2"/>
      <c r="D491" s="2"/>
    </row>
    <row r="492" ht="15.75" customHeight="1">
      <c r="A492" s="2"/>
      <c r="B492" s="2"/>
      <c r="C492" s="2"/>
      <c r="D492" s="2"/>
    </row>
    <row r="493" ht="15.75" customHeight="1">
      <c r="A493" s="2"/>
      <c r="B493" s="2"/>
      <c r="C493" s="2"/>
      <c r="D493" s="2"/>
    </row>
    <row r="494" ht="15.75" customHeight="1">
      <c r="A494" s="2"/>
      <c r="B494" s="2"/>
      <c r="C494" s="2"/>
      <c r="D494" s="2"/>
    </row>
    <row r="495" ht="15.75" customHeight="1">
      <c r="A495" s="2"/>
      <c r="B495" s="2"/>
      <c r="C495" s="2"/>
      <c r="D495" s="2"/>
    </row>
    <row r="496" ht="15.75" customHeight="1">
      <c r="A496" s="2"/>
      <c r="B496" s="2"/>
      <c r="C496" s="2"/>
      <c r="D496" s="2"/>
    </row>
    <row r="497" ht="15.75" customHeight="1">
      <c r="A497" s="2"/>
      <c r="B497" s="2"/>
      <c r="C497" s="2"/>
      <c r="D497" s="2"/>
    </row>
    <row r="498" ht="15.75" customHeight="1">
      <c r="A498" s="2"/>
      <c r="B498" s="2"/>
      <c r="C498" s="2"/>
      <c r="D498" s="2"/>
    </row>
    <row r="499" ht="15.75" customHeight="1">
      <c r="A499" s="2"/>
      <c r="B499" s="2"/>
      <c r="C499" s="2"/>
      <c r="D499" s="2"/>
    </row>
    <row r="500" ht="15.75" customHeight="1">
      <c r="A500" s="2"/>
      <c r="B500" s="2"/>
      <c r="C500" s="2"/>
      <c r="D500" s="2"/>
    </row>
    <row r="501" ht="15.75" customHeight="1">
      <c r="A501" s="2"/>
      <c r="B501" s="2"/>
      <c r="C501" s="2"/>
      <c r="D501" s="2"/>
    </row>
    <row r="502" ht="15.75" customHeight="1">
      <c r="A502" s="2"/>
      <c r="B502" s="2"/>
      <c r="C502" s="2"/>
      <c r="D502" s="2"/>
    </row>
    <row r="503" ht="15.75" customHeight="1">
      <c r="A503" s="2"/>
      <c r="B503" s="2"/>
      <c r="C503" s="2"/>
      <c r="D503" s="2"/>
    </row>
    <row r="504" ht="15.75" customHeight="1">
      <c r="A504" s="2"/>
      <c r="B504" s="2"/>
      <c r="C504" s="2"/>
      <c r="D504" s="2"/>
    </row>
    <row r="505" ht="15.75" customHeight="1">
      <c r="A505" s="2"/>
      <c r="B505" s="2"/>
      <c r="C505" s="2"/>
      <c r="D505" s="2"/>
    </row>
    <row r="506" ht="15.75" customHeight="1">
      <c r="A506" s="2"/>
      <c r="B506" s="2"/>
      <c r="C506" s="2"/>
      <c r="D506" s="2"/>
    </row>
    <row r="507" ht="15.75" customHeight="1">
      <c r="A507" s="2"/>
      <c r="B507" s="2"/>
      <c r="C507" s="2"/>
      <c r="D507" s="2"/>
    </row>
    <row r="508" ht="15.75" customHeight="1">
      <c r="A508" s="2"/>
      <c r="B508" s="2"/>
      <c r="C508" s="2"/>
      <c r="D508" s="2"/>
    </row>
    <row r="509" ht="15.75" customHeight="1">
      <c r="A509" s="2"/>
      <c r="B509" s="2"/>
      <c r="C509" s="2"/>
      <c r="D509" s="2"/>
    </row>
    <row r="510" ht="15.75" customHeight="1">
      <c r="A510" s="2"/>
      <c r="B510" s="2"/>
      <c r="C510" s="2"/>
      <c r="D510" s="2"/>
    </row>
    <row r="511" ht="15.75" customHeight="1">
      <c r="A511" s="2"/>
      <c r="B511" s="2"/>
      <c r="C511" s="2"/>
      <c r="D511" s="2"/>
    </row>
    <row r="512" ht="15.75" customHeight="1">
      <c r="A512" s="2"/>
      <c r="B512" s="2"/>
      <c r="C512" s="2"/>
      <c r="D512" s="2"/>
    </row>
    <row r="513" ht="15.75" customHeight="1">
      <c r="A513" s="2"/>
      <c r="B513" s="2"/>
      <c r="C513" s="2"/>
      <c r="D513" s="2"/>
    </row>
    <row r="514" ht="15.75" customHeight="1">
      <c r="A514" s="2"/>
      <c r="B514" s="2"/>
      <c r="C514" s="2"/>
      <c r="D514" s="2"/>
    </row>
    <row r="515" ht="15.75" customHeight="1">
      <c r="A515" s="2"/>
      <c r="B515" s="2"/>
      <c r="C515" s="2"/>
      <c r="D515" s="2"/>
    </row>
    <row r="516" ht="15.75" customHeight="1">
      <c r="A516" s="2"/>
      <c r="B516" s="2"/>
      <c r="C516" s="2"/>
      <c r="D516" s="2"/>
    </row>
    <row r="517" ht="15.75" customHeight="1">
      <c r="A517" s="2"/>
      <c r="B517" s="2"/>
      <c r="C517" s="2"/>
      <c r="D517" s="2"/>
    </row>
    <row r="518" ht="15.75" customHeight="1">
      <c r="A518" s="2"/>
      <c r="B518" s="2"/>
      <c r="C518" s="2"/>
      <c r="D518" s="2"/>
    </row>
    <row r="519" ht="15.75" customHeight="1">
      <c r="A519" s="2"/>
      <c r="B519" s="2"/>
      <c r="C519" s="2"/>
      <c r="D519" s="2"/>
    </row>
    <row r="520" ht="15.75" customHeight="1">
      <c r="A520" s="2"/>
      <c r="B520" s="2"/>
      <c r="C520" s="2"/>
      <c r="D520" s="2"/>
    </row>
    <row r="521" ht="15.75" customHeight="1">
      <c r="A521" s="2"/>
      <c r="B521" s="2"/>
      <c r="C521" s="2"/>
      <c r="D521" s="2"/>
    </row>
    <row r="522" ht="15.75" customHeight="1">
      <c r="A522" s="2"/>
      <c r="B522" s="2"/>
      <c r="C522" s="2"/>
      <c r="D522" s="2"/>
    </row>
    <row r="523" ht="15.75" customHeight="1">
      <c r="A523" s="2"/>
      <c r="B523" s="2"/>
      <c r="C523" s="2"/>
      <c r="D523" s="2"/>
    </row>
    <row r="524" ht="15.75" customHeight="1">
      <c r="A524" s="2"/>
      <c r="B524" s="2"/>
      <c r="C524" s="2"/>
      <c r="D524" s="2"/>
    </row>
    <row r="525" ht="15.75" customHeight="1">
      <c r="A525" s="2"/>
      <c r="B525" s="2"/>
      <c r="C525" s="2"/>
      <c r="D525" s="2"/>
    </row>
    <row r="526" ht="15.75" customHeight="1">
      <c r="A526" s="2"/>
      <c r="B526" s="2"/>
      <c r="C526" s="2"/>
      <c r="D526" s="2"/>
    </row>
    <row r="527" ht="15.75" customHeight="1">
      <c r="A527" s="2"/>
      <c r="B527" s="2"/>
      <c r="C527" s="2"/>
      <c r="D527" s="2"/>
    </row>
    <row r="528" ht="15.75" customHeight="1">
      <c r="A528" s="2"/>
      <c r="B528" s="2"/>
      <c r="C528" s="2"/>
      <c r="D528" s="2"/>
    </row>
    <row r="529" ht="15.75" customHeight="1">
      <c r="A529" s="2"/>
      <c r="B529" s="2"/>
      <c r="C529" s="2"/>
      <c r="D529" s="2"/>
    </row>
    <row r="530" ht="15.75" customHeight="1">
      <c r="A530" s="2"/>
      <c r="B530" s="2"/>
      <c r="C530" s="2"/>
      <c r="D530" s="2"/>
    </row>
    <row r="531" ht="15.75" customHeight="1">
      <c r="A531" s="2"/>
      <c r="B531" s="2"/>
      <c r="C531" s="2"/>
      <c r="D531" s="2"/>
    </row>
    <row r="532" ht="15.75" customHeight="1">
      <c r="A532" s="2"/>
      <c r="B532" s="2"/>
      <c r="C532" s="2"/>
      <c r="D532" s="2"/>
    </row>
    <row r="533" ht="15.75" customHeight="1">
      <c r="A533" s="2"/>
      <c r="B533" s="2"/>
      <c r="C533" s="2"/>
      <c r="D533" s="2"/>
    </row>
    <row r="534" ht="15.75" customHeight="1">
      <c r="A534" s="2"/>
      <c r="B534" s="2"/>
      <c r="C534" s="2"/>
      <c r="D534" s="2"/>
    </row>
    <row r="535" ht="15.75" customHeight="1">
      <c r="A535" s="2"/>
      <c r="B535" s="2"/>
      <c r="C535" s="2"/>
      <c r="D535" s="2"/>
    </row>
    <row r="536" ht="15.75" customHeight="1">
      <c r="A536" s="2"/>
      <c r="B536" s="2"/>
      <c r="C536" s="2"/>
      <c r="D536" s="2"/>
    </row>
    <row r="537" ht="15.75" customHeight="1">
      <c r="A537" s="2"/>
      <c r="B537" s="2"/>
      <c r="C537" s="2"/>
      <c r="D537" s="2"/>
    </row>
    <row r="538" ht="15.75" customHeight="1">
      <c r="A538" s="2"/>
      <c r="B538" s="2"/>
      <c r="C538" s="2"/>
      <c r="D538" s="2"/>
    </row>
    <row r="539" ht="15.75" customHeight="1">
      <c r="A539" s="2"/>
      <c r="B539" s="2"/>
      <c r="C539" s="2"/>
      <c r="D539" s="2"/>
    </row>
    <row r="540" ht="15.75" customHeight="1">
      <c r="A540" s="2"/>
      <c r="B540" s="2"/>
      <c r="C540" s="2"/>
      <c r="D540" s="2"/>
    </row>
    <row r="541" ht="15.75" customHeight="1">
      <c r="A541" s="2"/>
      <c r="B541" s="2"/>
      <c r="C541" s="2"/>
      <c r="D541" s="2"/>
    </row>
    <row r="542" ht="15.75" customHeight="1">
      <c r="A542" s="2"/>
      <c r="B542" s="2"/>
      <c r="C542" s="2"/>
      <c r="D542" s="2"/>
    </row>
    <row r="543" ht="15.75" customHeight="1">
      <c r="A543" s="2"/>
      <c r="B543" s="2"/>
      <c r="C543" s="2"/>
      <c r="D543" s="2"/>
    </row>
    <row r="544" ht="15.75" customHeight="1">
      <c r="A544" s="2"/>
      <c r="B544" s="2"/>
      <c r="C544" s="2"/>
      <c r="D544" s="2"/>
    </row>
    <row r="545" ht="15.75" customHeight="1">
      <c r="A545" s="2"/>
      <c r="B545" s="2"/>
      <c r="C545" s="2"/>
      <c r="D545" s="2"/>
    </row>
    <row r="546" ht="15.75" customHeight="1">
      <c r="A546" s="2"/>
      <c r="B546" s="2"/>
      <c r="C546" s="2"/>
      <c r="D546" s="2"/>
    </row>
    <row r="547" ht="15.75" customHeight="1">
      <c r="A547" s="2"/>
      <c r="B547" s="2"/>
      <c r="C547" s="2"/>
      <c r="D547" s="2"/>
    </row>
    <row r="548" ht="15.75" customHeight="1">
      <c r="A548" s="2"/>
      <c r="B548" s="2"/>
      <c r="C548" s="2"/>
      <c r="D548" s="2"/>
    </row>
    <row r="549" ht="15.75" customHeight="1">
      <c r="A549" s="2"/>
      <c r="B549" s="2"/>
      <c r="C549" s="2"/>
      <c r="D549" s="2"/>
    </row>
    <row r="550" ht="15.75" customHeight="1">
      <c r="A550" s="2"/>
      <c r="B550" s="2"/>
      <c r="C550" s="2"/>
      <c r="D550" s="2"/>
    </row>
    <row r="551" ht="15.75" customHeight="1">
      <c r="A551" s="2"/>
      <c r="B551" s="2"/>
      <c r="C551" s="2"/>
      <c r="D551" s="2"/>
    </row>
    <row r="552" ht="15.75" customHeight="1">
      <c r="A552" s="2"/>
      <c r="B552" s="2"/>
      <c r="C552" s="2"/>
      <c r="D552" s="2"/>
    </row>
    <row r="553" ht="15.75" customHeight="1">
      <c r="A553" s="2"/>
      <c r="B553" s="2"/>
      <c r="C553" s="2"/>
      <c r="D553" s="2"/>
    </row>
    <row r="554" ht="15.75" customHeight="1">
      <c r="A554" s="2"/>
      <c r="B554" s="2"/>
      <c r="C554" s="2"/>
      <c r="D554" s="2"/>
    </row>
    <row r="555" ht="15.75" customHeight="1">
      <c r="A555" s="2"/>
      <c r="B555" s="2"/>
      <c r="C555" s="2"/>
      <c r="D555" s="2"/>
    </row>
    <row r="556" ht="15.75" customHeight="1">
      <c r="A556" s="2"/>
      <c r="B556" s="2"/>
      <c r="C556" s="2"/>
      <c r="D556" s="2"/>
    </row>
    <row r="557" ht="15.75" customHeight="1">
      <c r="A557" s="2"/>
      <c r="B557" s="2"/>
      <c r="C557" s="2"/>
      <c r="D557" s="2"/>
    </row>
    <row r="558" ht="15.75" customHeight="1">
      <c r="A558" s="2"/>
      <c r="B558" s="2"/>
      <c r="C558" s="2"/>
      <c r="D558" s="2"/>
    </row>
    <row r="559" ht="15.75" customHeight="1">
      <c r="A559" s="2"/>
      <c r="B559" s="2"/>
      <c r="C559" s="2"/>
      <c r="D559" s="2"/>
    </row>
    <row r="560" ht="15.75" customHeight="1">
      <c r="A560" s="2"/>
      <c r="B560" s="2"/>
      <c r="C560" s="2"/>
      <c r="D560" s="2"/>
    </row>
    <row r="561" ht="15.75" customHeight="1">
      <c r="A561" s="2"/>
      <c r="B561" s="2"/>
      <c r="C561" s="2"/>
      <c r="D561" s="2"/>
    </row>
    <row r="562" ht="15.75" customHeight="1">
      <c r="A562" s="2"/>
      <c r="B562" s="2"/>
      <c r="C562" s="2"/>
      <c r="D562" s="2"/>
    </row>
    <row r="563" ht="15.75" customHeight="1">
      <c r="A563" s="2"/>
      <c r="B563" s="2"/>
      <c r="C563" s="2"/>
      <c r="D563" s="2"/>
    </row>
    <row r="564" ht="15.75" customHeight="1">
      <c r="A564" s="2"/>
      <c r="B564" s="2"/>
      <c r="C564" s="2"/>
      <c r="D564" s="2"/>
    </row>
    <row r="565" ht="15.75" customHeight="1">
      <c r="A565" s="2"/>
      <c r="B565" s="2"/>
      <c r="C565" s="2"/>
      <c r="D565" s="2"/>
    </row>
    <row r="566" ht="15.75" customHeight="1">
      <c r="A566" s="2"/>
      <c r="B566" s="2"/>
      <c r="C566" s="2"/>
      <c r="D566" s="2"/>
    </row>
    <row r="567" ht="15.75" customHeight="1">
      <c r="A567" s="2"/>
      <c r="B567" s="2"/>
      <c r="C567" s="2"/>
      <c r="D567" s="2"/>
    </row>
    <row r="568" ht="15.75" customHeight="1">
      <c r="A568" s="2"/>
      <c r="B568" s="2"/>
      <c r="C568" s="2"/>
      <c r="D568" s="2"/>
    </row>
    <row r="569" ht="15.75" customHeight="1">
      <c r="A569" s="2"/>
      <c r="B569" s="2"/>
      <c r="C569" s="2"/>
      <c r="D569" s="2"/>
    </row>
    <row r="570" ht="15.75" customHeight="1">
      <c r="A570" s="2"/>
      <c r="B570" s="2"/>
      <c r="C570" s="2"/>
      <c r="D570" s="2"/>
    </row>
    <row r="571" ht="15.75" customHeight="1">
      <c r="A571" s="2"/>
      <c r="B571" s="2"/>
      <c r="C571" s="2"/>
      <c r="D571" s="2"/>
    </row>
    <row r="572" ht="15.75" customHeight="1">
      <c r="A572" s="2"/>
      <c r="B572" s="2"/>
      <c r="C572" s="2"/>
      <c r="D572" s="2"/>
    </row>
    <row r="573" ht="15.75" customHeight="1">
      <c r="A573" s="2"/>
      <c r="B573" s="2"/>
      <c r="C573" s="2"/>
      <c r="D573" s="2"/>
    </row>
    <row r="574" ht="15.75" customHeight="1">
      <c r="A574" s="2"/>
      <c r="B574" s="2"/>
      <c r="C574" s="2"/>
      <c r="D574" s="2"/>
    </row>
    <row r="575" ht="15.75" customHeight="1">
      <c r="A575" s="2"/>
      <c r="B575" s="2"/>
      <c r="C575" s="2"/>
      <c r="D575" s="2"/>
    </row>
    <row r="576" ht="15.75" customHeight="1">
      <c r="A576" s="2"/>
      <c r="B576" s="2"/>
      <c r="C576" s="2"/>
      <c r="D576" s="2"/>
    </row>
    <row r="577" ht="15.75" customHeight="1">
      <c r="A577" s="2"/>
      <c r="B577" s="2"/>
      <c r="C577" s="2"/>
      <c r="D577" s="2"/>
    </row>
    <row r="578" ht="15.75" customHeight="1">
      <c r="A578" s="2"/>
      <c r="B578" s="2"/>
      <c r="C578" s="2"/>
      <c r="D578" s="2"/>
    </row>
    <row r="579" ht="15.75" customHeight="1">
      <c r="A579" s="2"/>
      <c r="B579" s="2"/>
      <c r="C579" s="2"/>
      <c r="D579" s="2"/>
    </row>
    <row r="580" ht="15.75" customHeight="1">
      <c r="A580" s="2"/>
      <c r="B580" s="2"/>
      <c r="C580" s="2"/>
      <c r="D580" s="2"/>
    </row>
    <row r="581" ht="15.75" customHeight="1">
      <c r="A581" s="2"/>
      <c r="B581" s="2"/>
      <c r="C581" s="2"/>
      <c r="D581" s="2"/>
    </row>
    <row r="582" ht="15.75" customHeight="1">
      <c r="A582" s="2"/>
      <c r="B582" s="2"/>
      <c r="C582" s="2"/>
      <c r="D582" s="2"/>
    </row>
    <row r="583" ht="15.75" customHeight="1">
      <c r="A583" s="2"/>
      <c r="B583" s="2"/>
      <c r="C583" s="2"/>
      <c r="D583" s="2"/>
    </row>
    <row r="584" ht="15.75" customHeight="1">
      <c r="A584" s="2"/>
      <c r="B584" s="2"/>
      <c r="C584" s="2"/>
      <c r="D584" s="2"/>
    </row>
    <row r="585" ht="15.75" customHeight="1">
      <c r="A585" s="2"/>
      <c r="B585" s="2"/>
      <c r="C585" s="2"/>
      <c r="D585" s="2"/>
    </row>
    <row r="586" ht="15.75" customHeight="1">
      <c r="A586" s="2"/>
      <c r="B586" s="2"/>
      <c r="C586" s="2"/>
      <c r="D586" s="2"/>
    </row>
    <row r="587" ht="15.75" customHeight="1">
      <c r="A587" s="2"/>
      <c r="B587" s="2"/>
      <c r="C587" s="2"/>
      <c r="D587" s="2"/>
    </row>
    <row r="588" ht="15.75" customHeight="1">
      <c r="A588" s="2"/>
      <c r="B588" s="2"/>
      <c r="C588" s="2"/>
      <c r="D588" s="2"/>
    </row>
    <row r="589" ht="15.75" customHeight="1">
      <c r="A589" s="2"/>
      <c r="B589" s="2"/>
      <c r="C589" s="2"/>
      <c r="D589" s="2"/>
    </row>
    <row r="590" ht="15.75" customHeight="1">
      <c r="A590" s="2"/>
      <c r="B590" s="2"/>
      <c r="C590" s="2"/>
      <c r="D590" s="2"/>
    </row>
    <row r="591" ht="15.75" customHeight="1">
      <c r="A591" s="2"/>
      <c r="B591" s="2"/>
      <c r="C591" s="2"/>
      <c r="D591" s="2"/>
    </row>
    <row r="592" ht="15.75" customHeight="1">
      <c r="A592" s="2"/>
      <c r="B592" s="2"/>
      <c r="C592" s="2"/>
      <c r="D592" s="2"/>
    </row>
    <row r="593" ht="15.75" customHeight="1">
      <c r="A593" s="2"/>
      <c r="B593" s="2"/>
      <c r="C593" s="2"/>
      <c r="D593" s="2"/>
    </row>
    <row r="594" ht="15.75" customHeight="1">
      <c r="A594" s="2"/>
      <c r="B594" s="2"/>
      <c r="C594" s="2"/>
      <c r="D594" s="2"/>
    </row>
    <row r="595" ht="15.75" customHeight="1">
      <c r="A595" s="2"/>
      <c r="B595" s="2"/>
      <c r="C595" s="2"/>
      <c r="D595" s="2"/>
    </row>
    <row r="596" ht="15.75" customHeight="1">
      <c r="A596" s="2"/>
      <c r="B596" s="2"/>
      <c r="C596" s="2"/>
      <c r="D596" s="2"/>
    </row>
    <row r="597" ht="15.75" customHeight="1">
      <c r="A597" s="2"/>
      <c r="B597" s="2"/>
      <c r="C597" s="2"/>
      <c r="D597" s="2"/>
    </row>
    <row r="598" ht="15.75" customHeight="1">
      <c r="A598" s="2"/>
      <c r="B598" s="2"/>
      <c r="C598" s="2"/>
      <c r="D598" s="2"/>
    </row>
    <row r="599" ht="15.75" customHeight="1">
      <c r="A599" s="2"/>
      <c r="B599" s="2"/>
      <c r="C599" s="2"/>
      <c r="D599" s="2"/>
    </row>
    <row r="600" ht="15.75" customHeight="1">
      <c r="A600" s="2"/>
      <c r="B600" s="2"/>
      <c r="C600" s="2"/>
      <c r="D600" s="2"/>
    </row>
    <row r="601" ht="15.75" customHeight="1">
      <c r="A601" s="2"/>
      <c r="B601" s="2"/>
      <c r="C601" s="2"/>
      <c r="D601" s="2"/>
    </row>
    <row r="602" ht="15.75" customHeight="1">
      <c r="A602" s="2"/>
      <c r="B602" s="2"/>
      <c r="C602" s="2"/>
      <c r="D602" s="2"/>
    </row>
    <row r="603" ht="15.75" customHeight="1">
      <c r="A603" s="2"/>
      <c r="B603" s="2"/>
      <c r="C603" s="2"/>
      <c r="D603" s="2"/>
    </row>
    <row r="604" ht="15.75" customHeight="1">
      <c r="A604" s="2"/>
      <c r="B604" s="2"/>
      <c r="C604" s="2"/>
      <c r="D604" s="2"/>
    </row>
    <row r="605" ht="15.75" customHeight="1">
      <c r="A605" s="2"/>
      <c r="B605" s="2"/>
      <c r="C605" s="2"/>
      <c r="D605" s="2"/>
    </row>
    <row r="606" ht="15.75" customHeight="1">
      <c r="A606" s="2"/>
      <c r="B606" s="2"/>
      <c r="C606" s="2"/>
      <c r="D606" s="2"/>
    </row>
    <row r="607" ht="15.75" customHeight="1">
      <c r="A607" s="2"/>
      <c r="B607" s="2"/>
      <c r="C607" s="2"/>
      <c r="D607" s="2"/>
    </row>
    <row r="608" ht="15.75" customHeight="1">
      <c r="A608" s="2"/>
      <c r="B608" s="2"/>
      <c r="C608" s="2"/>
      <c r="D608" s="2"/>
    </row>
    <row r="609" ht="15.75" customHeight="1">
      <c r="A609" s="2"/>
      <c r="B609" s="2"/>
      <c r="C609" s="2"/>
      <c r="D609" s="2"/>
    </row>
    <row r="610" ht="15.75" customHeight="1">
      <c r="A610" s="2"/>
      <c r="B610" s="2"/>
      <c r="C610" s="2"/>
      <c r="D610" s="2"/>
    </row>
    <row r="611" ht="15.75" customHeight="1">
      <c r="A611" s="2"/>
      <c r="B611" s="2"/>
      <c r="C611" s="2"/>
      <c r="D611" s="2"/>
    </row>
    <row r="612" ht="15.75" customHeight="1">
      <c r="A612" s="2"/>
      <c r="B612" s="2"/>
      <c r="C612" s="2"/>
      <c r="D612" s="2"/>
    </row>
    <row r="613" ht="15.75" customHeight="1">
      <c r="A613" s="2"/>
      <c r="B613" s="2"/>
      <c r="C613" s="2"/>
      <c r="D613" s="2"/>
    </row>
    <row r="614" ht="15.75" customHeight="1">
      <c r="A614" s="2"/>
      <c r="B614" s="2"/>
      <c r="C614" s="2"/>
      <c r="D614" s="2"/>
    </row>
    <row r="615" ht="15.75" customHeight="1">
      <c r="A615" s="2"/>
      <c r="B615" s="2"/>
      <c r="C615" s="2"/>
      <c r="D615" s="2"/>
    </row>
    <row r="616" ht="15.75" customHeight="1">
      <c r="A616" s="2"/>
      <c r="B616" s="2"/>
      <c r="C616" s="2"/>
      <c r="D616" s="2"/>
    </row>
    <row r="617" ht="15.75" customHeight="1">
      <c r="A617" s="2"/>
      <c r="B617" s="2"/>
      <c r="C617" s="2"/>
      <c r="D617" s="2"/>
    </row>
    <row r="618" ht="15.75" customHeight="1">
      <c r="A618" s="2"/>
      <c r="B618" s="2"/>
      <c r="C618" s="2"/>
      <c r="D618" s="2"/>
    </row>
    <row r="619" ht="15.75" customHeight="1">
      <c r="A619" s="2"/>
      <c r="B619" s="2"/>
      <c r="C619" s="2"/>
      <c r="D619" s="2"/>
    </row>
    <row r="620" ht="15.75" customHeight="1">
      <c r="A620" s="2"/>
      <c r="B620" s="2"/>
      <c r="C620" s="2"/>
      <c r="D620" s="2"/>
    </row>
    <row r="621" ht="15.75" customHeight="1">
      <c r="A621" s="2"/>
      <c r="B621" s="2"/>
      <c r="C621" s="2"/>
      <c r="D621" s="2"/>
    </row>
    <row r="622" ht="15.75" customHeight="1">
      <c r="A622" s="2"/>
      <c r="B622" s="2"/>
      <c r="C622" s="2"/>
      <c r="D622" s="2"/>
    </row>
    <row r="623" ht="15.75" customHeight="1">
      <c r="A623" s="2"/>
      <c r="B623" s="2"/>
      <c r="C623" s="2"/>
      <c r="D623" s="2"/>
    </row>
    <row r="624" ht="15.75" customHeight="1">
      <c r="A624" s="2"/>
      <c r="B624" s="2"/>
      <c r="C624" s="2"/>
      <c r="D624" s="2"/>
    </row>
    <row r="625" ht="15.75" customHeight="1">
      <c r="A625" s="2"/>
      <c r="B625" s="2"/>
      <c r="C625" s="2"/>
      <c r="D625" s="2"/>
    </row>
    <row r="626" ht="15.75" customHeight="1">
      <c r="A626" s="2"/>
      <c r="B626" s="2"/>
      <c r="C626" s="2"/>
      <c r="D626" s="2"/>
    </row>
    <row r="627" ht="15.75" customHeight="1">
      <c r="A627" s="2"/>
      <c r="B627" s="2"/>
      <c r="C627" s="2"/>
      <c r="D627" s="2"/>
    </row>
    <row r="628" ht="15.75" customHeight="1">
      <c r="A628" s="2"/>
      <c r="B628" s="2"/>
      <c r="C628" s="2"/>
      <c r="D628" s="2"/>
    </row>
    <row r="629" ht="15.75" customHeight="1">
      <c r="A629" s="2"/>
      <c r="B629" s="2"/>
      <c r="C629" s="2"/>
      <c r="D629" s="2"/>
    </row>
    <row r="630" ht="15.75" customHeight="1">
      <c r="A630" s="2"/>
      <c r="B630" s="2"/>
      <c r="C630" s="2"/>
      <c r="D630" s="2"/>
    </row>
    <row r="631" ht="15.75" customHeight="1">
      <c r="A631" s="2"/>
      <c r="B631" s="2"/>
      <c r="C631" s="2"/>
      <c r="D631" s="2"/>
    </row>
    <row r="632" ht="15.75" customHeight="1">
      <c r="A632" s="2"/>
      <c r="B632" s="2"/>
      <c r="C632" s="2"/>
      <c r="D632" s="2"/>
    </row>
    <row r="633" ht="15.75" customHeight="1">
      <c r="A633" s="2"/>
      <c r="B633" s="2"/>
      <c r="C633" s="2"/>
      <c r="D633" s="2"/>
    </row>
    <row r="634" ht="15.75" customHeight="1">
      <c r="A634" s="2"/>
      <c r="B634" s="2"/>
      <c r="C634" s="2"/>
      <c r="D634" s="2"/>
    </row>
    <row r="635" ht="15.75" customHeight="1">
      <c r="A635" s="2"/>
      <c r="B635" s="2"/>
      <c r="C635" s="2"/>
      <c r="D635" s="2"/>
    </row>
    <row r="636" ht="15.75" customHeight="1">
      <c r="A636" s="2"/>
      <c r="B636" s="2"/>
      <c r="C636" s="2"/>
      <c r="D636" s="2"/>
    </row>
    <row r="637" ht="15.75" customHeight="1">
      <c r="A637" s="2"/>
      <c r="B637" s="2"/>
      <c r="C637" s="2"/>
      <c r="D637" s="2"/>
    </row>
    <row r="638" ht="15.75" customHeight="1">
      <c r="A638" s="2"/>
      <c r="B638" s="2"/>
      <c r="C638" s="2"/>
      <c r="D638" s="2"/>
    </row>
    <row r="639" ht="15.75" customHeight="1">
      <c r="A639" s="2"/>
      <c r="B639" s="2"/>
      <c r="C639" s="2"/>
      <c r="D639" s="2"/>
    </row>
    <row r="640" ht="15.75" customHeight="1">
      <c r="A640" s="2"/>
      <c r="B640" s="2"/>
      <c r="C640" s="2"/>
      <c r="D640" s="2"/>
    </row>
    <row r="641" ht="15.75" customHeight="1">
      <c r="A641" s="2"/>
      <c r="B641" s="2"/>
      <c r="C641" s="2"/>
      <c r="D641" s="2"/>
    </row>
    <row r="642" ht="15.75" customHeight="1">
      <c r="A642" s="2"/>
      <c r="B642" s="2"/>
      <c r="C642" s="2"/>
      <c r="D642" s="2"/>
    </row>
    <row r="643" ht="15.75" customHeight="1">
      <c r="A643" s="2"/>
      <c r="B643" s="2"/>
      <c r="C643" s="2"/>
      <c r="D643" s="2"/>
    </row>
    <row r="644" ht="15.75" customHeight="1">
      <c r="A644" s="2"/>
      <c r="B644" s="2"/>
      <c r="C644" s="2"/>
      <c r="D644" s="2"/>
    </row>
    <row r="645" ht="15.75" customHeight="1">
      <c r="A645" s="2"/>
      <c r="B645" s="2"/>
      <c r="C645" s="2"/>
      <c r="D645" s="2"/>
    </row>
    <row r="646" ht="15.75" customHeight="1">
      <c r="A646" s="2"/>
      <c r="B646" s="2"/>
      <c r="C646" s="2"/>
      <c r="D646" s="2"/>
    </row>
    <row r="647" ht="15.75" customHeight="1">
      <c r="A647" s="2"/>
      <c r="B647" s="2"/>
      <c r="C647" s="2"/>
      <c r="D647" s="2"/>
    </row>
    <row r="648" ht="15.75" customHeight="1">
      <c r="A648" s="2"/>
      <c r="B648" s="2"/>
      <c r="C648" s="2"/>
      <c r="D648" s="2"/>
    </row>
    <row r="649" ht="15.75" customHeight="1">
      <c r="A649" s="2"/>
      <c r="B649" s="2"/>
      <c r="C649" s="2"/>
      <c r="D649" s="2"/>
    </row>
    <row r="650" ht="15.75" customHeight="1">
      <c r="A650" s="2"/>
      <c r="B650" s="2"/>
      <c r="C650" s="2"/>
      <c r="D650" s="2"/>
    </row>
    <row r="651" ht="15.75" customHeight="1">
      <c r="A651" s="2"/>
      <c r="B651" s="2"/>
      <c r="C651" s="2"/>
      <c r="D651" s="2"/>
    </row>
    <row r="652" ht="15.75" customHeight="1">
      <c r="A652" s="2"/>
      <c r="B652" s="2"/>
      <c r="C652" s="2"/>
      <c r="D652" s="2"/>
    </row>
    <row r="653" ht="15.75" customHeight="1">
      <c r="A653" s="2"/>
      <c r="B653" s="2"/>
      <c r="C653" s="2"/>
      <c r="D653" s="2"/>
    </row>
    <row r="654" ht="15.75" customHeight="1">
      <c r="A654" s="2"/>
      <c r="B654" s="2"/>
      <c r="C654" s="2"/>
      <c r="D654" s="2"/>
    </row>
    <row r="655" ht="15.75" customHeight="1">
      <c r="A655" s="2"/>
      <c r="B655" s="2"/>
      <c r="C655" s="2"/>
      <c r="D655" s="2"/>
    </row>
    <row r="656" ht="15.75" customHeight="1">
      <c r="A656" s="2"/>
      <c r="B656" s="2"/>
      <c r="C656" s="2"/>
      <c r="D656" s="2"/>
    </row>
    <row r="657" ht="15.75" customHeight="1">
      <c r="A657" s="2"/>
      <c r="B657" s="2"/>
      <c r="C657" s="2"/>
      <c r="D657" s="2"/>
    </row>
    <row r="658" ht="15.75" customHeight="1">
      <c r="A658" s="2"/>
      <c r="B658" s="2"/>
      <c r="C658" s="2"/>
      <c r="D658" s="2"/>
    </row>
    <row r="659" ht="15.75" customHeight="1">
      <c r="A659" s="2"/>
      <c r="B659" s="2"/>
      <c r="C659" s="2"/>
      <c r="D659" s="2"/>
    </row>
    <row r="660" ht="15.75" customHeight="1">
      <c r="A660" s="2"/>
      <c r="B660" s="2"/>
      <c r="C660" s="2"/>
      <c r="D660" s="2"/>
    </row>
    <row r="661" ht="15.75" customHeight="1">
      <c r="A661" s="2"/>
      <c r="B661" s="2"/>
      <c r="C661" s="2"/>
      <c r="D661" s="2"/>
    </row>
    <row r="662" ht="15.75" customHeight="1">
      <c r="A662" s="2"/>
      <c r="B662" s="2"/>
      <c r="C662" s="2"/>
      <c r="D662" s="2"/>
    </row>
    <row r="663" ht="15.75" customHeight="1">
      <c r="A663" s="2"/>
      <c r="B663" s="2"/>
      <c r="C663" s="2"/>
      <c r="D663" s="2"/>
    </row>
    <row r="664" ht="15.75" customHeight="1">
      <c r="A664" s="2"/>
      <c r="B664" s="2"/>
      <c r="C664" s="2"/>
      <c r="D664" s="2"/>
    </row>
    <row r="665" ht="15.75" customHeight="1">
      <c r="A665" s="2"/>
      <c r="B665" s="2"/>
      <c r="C665" s="2"/>
      <c r="D665" s="2"/>
    </row>
    <row r="666" ht="15.75" customHeight="1">
      <c r="A666" s="2"/>
      <c r="B666" s="2"/>
      <c r="C666" s="2"/>
      <c r="D666" s="2"/>
    </row>
    <row r="667" ht="15.75" customHeight="1">
      <c r="A667" s="2"/>
      <c r="B667" s="2"/>
      <c r="C667" s="2"/>
      <c r="D667" s="2"/>
    </row>
    <row r="668" ht="15.75" customHeight="1">
      <c r="A668" s="2"/>
      <c r="B668" s="2"/>
      <c r="C668" s="2"/>
      <c r="D668" s="2"/>
    </row>
    <row r="669" ht="15.75" customHeight="1">
      <c r="A669" s="2"/>
      <c r="B669" s="2"/>
      <c r="C669" s="2"/>
      <c r="D669" s="2"/>
    </row>
    <row r="670" ht="15.75" customHeight="1">
      <c r="A670" s="2"/>
      <c r="B670" s="2"/>
      <c r="C670" s="2"/>
      <c r="D670" s="2"/>
    </row>
    <row r="671" ht="15.75" customHeight="1">
      <c r="A671" s="2"/>
      <c r="B671" s="2"/>
      <c r="C671" s="2"/>
      <c r="D671" s="2"/>
    </row>
    <row r="672" ht="15.75" customHeight="1">
      <c r="A672" s="2"/>
      <c r="B672" s="2"/>
      <c r="C672" s="2"/>
      <c r="D672" s="2"/>
    </row>
    <row r="673" ht="15.75" customHeight="1">
      <c r="A673" s="2"/>
      <c r="B673" s="2"/>
      <c r="C673" s="2"/>
      <c r="D673" s="2"/>
    </row>
    <row r="674" ht="15.75" customHeight="1">
      <c r="A674" s="2"/>
      <c r="B674" s="2"/>
      <c r="C674" s="2"/>
      <c r="D674" s="2"/>
    </row>
    <row r="675" ht="15.75" customHeight="1">
      <c r="A675" s="2"/>
      <c r="B675" s="2"/>
      <c r="C675" s="2"/>
      <c r="D675" s="2"/>
    </row>
    <row r="676" ht="15.75" customHeight="1">
      <c r="A676" s="2"/>
      <c r="B676" s="2"/>
      <c r="C676" s="2"/>
      <c r="D676" s="2"/>
    </row>
    <row r="677" ht="15.75" customHeight="1">
      <c r="A677" s="2"/>
      <c r="B677" s="2"/>
      <c r="C677" s="2"/>
      <c r="D677" s="2"/>
    </row>
    <row r="678" ht="15.75" customHeight="1">
      <c r="A678" s="2"/>
      <c r="B678" s="2"/>
      <c r="C678" s="2"/>
      <c r="D678" s="2"/>
    </row>
    <row r="679" ht="15.75" customHeight="1">
      <c r="A679" s="2"/>
      <c r="B679" s="2"/>
      <c r="C679" s="2"/>
      <c r="D679" s="2"/>
    </row>
    <row r="680" ht="15.75" customHeight="1">
      <c r="A680" s="2"/>
      <c r="B680" s="2"/>
      <c r="C680" s="2"/>
      <c r="D680" s="2"/>
    </row>
    <row r="681" ht="15.75" customHeight="1">
      <c r="A681" s="2"/>
      <c r="B681" s="2"/>
      <c r="C681" s="2"/>
      <c r="D681" s="2"/>
    </row>
    <row r="682" ht="15.75" customHeight="1">
      <c r="A682" s="2"/>
      <c r="B682" s="2"/>
      <c r="C682" s="2"/>
      <c r="D682" s="2"/>
    </row>
    <row r="683" ht="15.75" customHeight="1">
      <c r="A683" s="2"/>
      <c r="B683" s="2"/>
      <c r="C683" s="2"/>
      <c r="D683" s="2"/>
    </row>
    <row r="684" ht="15.75" customHeight="1">
      <c r="A684" s="2"/>
      <c r="B684" s="2"/>
      <c r="C684" s="2"/>
      <c r="D684" s="2"/>
    </row>
    <row r="685" ht="15.75" customHeight="1">
      <c r="A685" s="2"/>
      <c r="B685" s="2"/>
      <c r="C685" s="2"/>
      <c r="D685" s="2"/>
    </row>
    <row r="686" ht="15.75" customHeight="1">
      <c r="A686" s="2"/>
      <c r="B686" s="2"/>
      <c r="C686" s="2"/>
      <c r="D686" s="2"/>
    </row>
    <row r="687" ht="15.75" customHeight="1">
      <c r="A687" s="2"/>
      <c r="B687" s="2"/>
      <c r="C687" s="2"/>
      <c r="D687" s="2"/>
    </row>
    <row r="688" ht="15.75" customHeight="1">
      <c r="A688" s="2"/>
      <c r="B688" s="2"/>
      <c r="C688" s="2"/>
      <c r="D688" s="2"/>
    </row>
    <row r="689" ht="15.75" customHeight="1">
      <c r="A689" s="2"/>
      <c r="B689" s="2"/>
      <c r="C689" s="2"/>
      <c r="D689" s="2"/>
    </row>
    <row r="690" ht="15.75" customHeight="1">
      <c r="A690" s="2"/>
      <c r="B690" s="2"/>
      <c r="C690" s="2"/>
      <c r="D690" s="2"/>
    </row>
    <row r="691" ht="15.75" customHeight="1">
      <c r="A691" s="2"/>
      <c r="B691" s="2"/>
      <c r="C691" s="2"/>
      <c r="D691" s="2"/>
    </row>
    <row r="692" ht="15.75" customHeight="1">
      <c r="A692" s="2"/>
      <c r="B692" s="2"/>
      <c r="C692" s="2"/>
      <c r="D692" s="2"/>
    </row>
    <row r="693" ht="15.75" customHeight="1">
      <c r="A693" s="2"/>
      <c r="B693" s="2"/>
      <c r="C693" s="2"/>
      <c r="D693" s="2"/>
    </row>
    <row r="694" ht="15.75" customHeight="1">
      <c r="A694" s="2"/>
      <c r="B694" s="2"/>
      <c r="C694" s="2"/>
      <c r="D694" s="2"/>
    </row>
    <row r="695" ht="15.75" customHeight="1">
      <c r="A695" s="2"/>
      <c r="B695" s="2"/>
      <c r="C695" s="2"/>
      <c r="D695" s="2"/>
    </row>
    <row r="696" ht="15.75" customHeight="1">
      <c r="A696" s="2"/>
      <c r="B696" s="2"/>
      <c r="C696" s="2"/>
      <c r="D696" s="2"/>
    </row>
    <row r="697" ht="15.75" customHeight="1">
      <c r="A697" s="2"/>
      <c r="B697" s="2"/>
      <c r="C697" s="2"/>
      <c r="D697" s="2"/>
    </row>
    <row r="698" ht="15.75" customHeight="1">
      <c r="A698" s="2"/>
      <c r="B698" s="2"/>
      <c r="C698" s="2"/>
      <c r="D698" s="2"/>
    </row>
    <row r="699" ht="15.75" customHeight="1">
      <c r="A699" s="2"/>
      <c r="B699" s="2"/>
      <c r="C699" s="2"/>
      <c r="D699" s="2"/>
    </row>
    <row r="700" ht="15.75" customHeight="1">
      <c r="A700" s="2"/>
      <c r="B700" s="2"/>
      <c r="C700" s="2"/>
      <c r="D700" s="2"/>
    </row>
    <row r="701" ht="15.75" customHeight="1">
      <c r="A701" s="2"/>
      <c r="B701" s="2"/>
      <c r="C701" s="2"/>
      <c r="D701" s="2"/>
    </row>
    <row r="702" ht="15.75" customHeight="1">
      <c r="A702" s="2"/>
      <c r="B702" s="2"/>
      <c r="C702" s="2"/>
      <c r="D702" s="2"/>
    </row>
    <row r="703" ht="15.75" customHeight="1">
      <c r="A703" s="2"/>
      <c r="B703" s="2"/>
      <c r="C703" s="2"/>
      <c r="D703" s="2"/>
    </row>
    <row r="704" ht="15.75" customHeight="1">
      <c r="A704" s="2"/>
      <c r="B704" s="2"/>
      <c r="C704" s="2"/>
      <c r="D704" s="2"/>
    </row>
    <row r="705" ht="15.75" customHeight="1">
      <c r="A705" s="2"/>
      <c r="B705" s="2"/>
      <c r="C705" s="2"/>
      <c r="D705" s="2"/>
    </row>
    <row r="706" ht="15.75" customHeight="1">
      <c r="A706" s="2"/>
      <c r="B706" s="2"/>
      <c r="C706" s="2"/>
      <c r="D706" s="2"/>
    </row>
    <row r="707" ht="15.75" customHeight="1">
      <c r="A707" s="2"/>
      <c r="B707" s="2"/>
      <c r="C707" s="2"/>
      <c r="D707" s="2"/>
    </row>
    <row r="708" ht="15.75" customHeight="1">
      <c r="A708" s="2"/>
      <c r="B708" s="2"/>
      <c r="C708" s="2"/>
      <c r="D708" s="2"/>
    </row>
    <row r="709" ht="15.75" customHeight="1">
      <c r="A709" s="2"/>
      <c r="B709" s="2"/>
      <c r="C709" s="2"/>
      <c r="D709" s="2"/>
    </row>
    <row r="710" ht="15.75" customHeight="1">
      <c r="A710" s="2"/>
      <c r="B710" s="2"/>
      <c r="C710" s="2"/>
      <c r="D710" s="2"/>
    </row>
    <row r="711" ht="15.75" customHeight="1">
      <c r="A711" s="2"/>
      <c r="B711" s="2"/>
      <c r="C711" s="2"/>
      <c r="D711" s="2"/>
    </row>
    <row r="712" ht="15.75" customHeight="1">
      <c r="A712" s="2"/>
      <c r="B712" s="2"/>
      <c r="C712" s="2"/>
      <c r="D712" s="2"/>
    </row>
    <row r="713" ht="15.75" customHeight="1">
      <c r="A713" s="2"/>
      <c r="B713" s="2"/>
      <c r="C713" s="2"/>
      <c r="D713" s="2"/>
    </row>
    <row r="714" ht="15.75" customHeight="1">
      <c r="A714" s="2"/>
      <c r="B714" s="2"/>
      <c r="C714" s="2"/>
      <c r="D714" s="2"/>
    </row>
    <row r="715" ht="15.75" customHeight="1">
      <c r="A715" s="2"/>
      <c r="B715" s="2"/>
      <c r="C715" s="2"/>
      <c r="D715" s="2"/>
    </row>
    <row r="716" ht="15.75" customHeight="1">
      <c r="A716" s="2"/>
      <c r="B716" s="2"/>
      <c r="C716" s="2"/>
      <c r="D716" s="2"/>
    </row>
    <row r="717" ht="15.75" customHeight="1">
      <c r="A717" s="2"/>
      <c r="B717" s="2"/>
      <c r="C717" s="2"/>
      <c r="D717" s="2"/>
    </row>
    <row r="718" ht="15.75" customHeight="1">
      <c r="A718" s="2"/>
      <c r="B718" s="2"/>
      <c r="C718" s="2"/>
      <c r="D718" s="2"/>
    </row>
    <row r="719" ht="15.75" customHeight="1">
      <c r="A719" s="2"/>
      <c r="B719" s="2"/>
      <c r="C719" s="2"/>
      <c r="D719" s="2"/>
    </row>
    <row r="720" ht="15.75" customHeight="1">
      <c r="A720" s="2"/>
      <c r="B720" s="2"/>
      <c r="C720" s="2"/>
      <c r="D720" s="2"/>
    </row>
    <row r="721" ht="15.75" customHeight="1">
      <c r="A721" s="2"/>
      <c r="B721" s="2"/>
      <c r="C721" s="2"/>
      <c r="D721" s="2"/>
    </row>
    <row r="722" ht="15.75" customHeight="1">
      <c r="A722" s="2"/>
      <c r="B722" s="2"/>
      <c r="C722" s="2"/>
      <c r="D722" s="2"/>
    </row>
    <row r="723" ht="15.75" customHeight="1">
      <c r="A723" s="2"/>
      <c r="B723" s="2"/>
      <c r="C723" s="2"/>
      <c r="D723" s="2"/>
    </row>
    <row r="724" ht="15.75" customHeight="1">
      <c r="A724" s="2"/>
      <c r="B724" s="2"/>
      <c r="C724" s="2"/>
      <c r="D724" s="2"/>
    </row>
    <row r="725" ht="15.75" customHeight="1">
      <c r="A725" s="2"/>
      <c r="B725" s="2"/>
      <c r="C725" s="2"/>
      <c r="D725" s="2"/>
    </row>
    <row r="726" ht="15.75" customHeight="1">
      <c r="A726" s="2"/>
      <c r="B726" s="2"/>
      <c r="C726" s="2"/>
      <c r="D726" s="2"/>
    </row>
    <row r="727" ht="15.75" customHeight="1">
      <c r="A727" s="2"/>
      <c r="B727" s="2"/>
      <c r="C727" s="2"/>
      <c r="D727" s="2"/>
    </row>
    <row r="728" ht="15.75" customHeight="1">
      <c r="A728" s="2"/>
      <c r="B728" s="2"/>
      <c r="C728" s="2"/>
      <c r="D728" s="2"/>
    </row>
    <row r="729" ht="15.75" customHeight="1">
      <c r="A729" s="2"/>
      <c r="B729" s="2"/>
      <c r="C729" s="2"/>
      <c r="D729" s="2"/>
    </row>
    <row r="730" ht="15.75" customHeight="1">
      <c r="A730" s="2"/>
      <c r="B730" s="2"/>
      <c r="C730" s="2"/>
      <c r="D730" s="2"/>
    </row>
    <row r="731" ht="15.75" customHeight="1">
      <c r="A731" s="2"/>
      <c r="B731" s="2"/>
      <c r="C731" s="2"/>
      <c r="D731" s="2"/>
    </row>
    <row r="732" ht="15.75" customHeight="1">
      <c r="A732" s="2"/>
      <c r="B732" s="2"/>
      <c r="C732" s="2"/>
      <c r="D732" s="2"/>
    </row>
    <row r="733" ht="15.75" customHeight="1">
      <c r="A733" s="2"/>
      <c r="B733" s="2"/>
      <c r="C733" s="2"/>
      <c r="D733" s="2"/>
    </row>
    <row r="734" ht="15.75" customHeight="1">
      <c r="A734" s="2"/>
      <c r="B734" s="2"/>
      <c r="C734" s="2"/>
      <c r="D734" s="2"/>
    </row>
    <row r="735" ht="15.75" customHeight="1">
      <c r="A735" s="2"/>
      <c r="B735" s="2"/>
      <c r="C735" s="2"/>
      <c r="D735" s="2"/>
    </row>
    <row r="736" ht="15.75" customHeight="1">
      <c r="A736" s="2"/>
      <c r="B736" s="2"/>
      <c r="C736" s="2"/>
      <c r="D736" s="2"/>
    </row>
    <row r="737" ht="15.75" customHeight="1">
      <c r="A737" s="2"/>
      <c r="B737" s="2"/>
      <c r="C737" s="2"/>
      <c r="D737" s="2"/>
    </row>
    <row r="738" ht="15.75" customHeight="1">
      <c r="A738" s="2"/>
      <c r="B738" s="2"/>
      <c r="C738" s="2"/>
      <c r="D738" s="2"/>
    </row>
    <row r="739" ht="15.75" customHeight="1">
      <c r="A739" s="2"/>
      <c r="B739" s="2"/>
      <c r="C739" s="2"/>
      <c r="D739" s="2"/>
    </row>
    <row r="740" ht="15.75" customHeight="1">
      <c r="A740" s="2"/>
      <c r="B740" s="2"/>
      <c r="C740" s="2"/>
      <c r="D740" s="2"/>
    </row>
    <row r="741" ht="15.75" customHeight="1">
      <c r="A741" s="2"/>
      <c r="B741" s="2"/>
      <c r="C741" s="2"/>
      <c r="D741" s="2"/>
    </row>
    <row r="742" ht="15.75" customHeight="1">
      <c r="A742" s="2"/>
      <c r="B742" s="2"/>
      <c r="C742" s="2"/>
      <c r="D742" s="2"/>
    </row>
    <row r="743" ht="15.75" customHeight="1">
      <c r="A743" s="2"/>
      <c r="B743" s="2"/>
      <c r="C743" s="2"/>
      <c r="D743" s="2"/>
    </row>
    <row r="744" ht="15.75" customHeight="1">
      <c r="A744" s="2"/>
      <c r="B744" s="2"/>
      <c r="C744" s="2"/>
      <c r="D744" s="2"/>
    </row>
    <row r="745" ht="15.75" customHeight="1">
      <c r="A745" s="2"/>
      <c r="B745" s="2"/>
      <c r="C745" s="2"/>
      <c r="D745" s="2"/>
    </row>
    <row r="746" ht="15.75" customHeight="1">
      <c r="A746" s="2"/>
      <c r="B746" s="2"/>
      <c r="C746" s="2"/>
      <c r="D746" s="2"/>
    </row>
    <row r="747" ht="15.75" customHeight="1">
      <c r="A747" s="2"/>
      <c r="B747" s="2"/>
      <c r="C747" s="2"/>
      <c r="D747" s="2"/>
    </row>
    <row r="748" ht="15.75" customHeight="1">
      <c r="A748" s="2"/>
      <c r="B748" s="2"/>
      <c r="C748" s="2"/>
      <c r="D748" s="2"/>
    </row>
    <row r="749" ht="15.75" customHeight="1">
      <c r="A749" s="2"/>
      <c r="B749" s="2"/>
      <c r="C749" s="2"/>
      <c r="D749" s="2"/>
    </row>
    <row r="750" ht="15.75" customHeight="1">
      <c r="A750" s="2"/>
      <c r="B750" s="2"/>
      <c r="C750" s="2"/>
      <c r="D750" s="2"/>
    </row>
    <row r="751" ht="15.75" customHeight="1">
      <c r="A751" s="2"/>
      <c r="B751" s="2"/>
      <c r="C751" s="2"/>
      <c r="D751" s="2"/>
    </row>
    <row r="752" ht="15.75" customHeight="1">
      <c r="A752" s="2"/>
      <c r="B752" s="2"/>
      <c r="C752" s="2"/>
      <c r="D752" s="2"/>
    </row>
    <row r="753" ht="15.75" customHeight="1">
      <c r="A753" s="2"/>
      <c r="B753" s="2"/>
      <c r="C753" s="2"/>
      <c r="D753" s="2"/>
    </row>
    <row r="754" ht="15.75" customHeight="1">
      <c r="A754" s="2"/>
      <c r="B754" s="2"/>
      <c r="C754" s="2"/>
      <c r="D754" s="2"/>
    </row>
    <row r="755" ht="15.75" customHeight="1">
      <c r="A755" s="2"/>
      <c r="B755" s="2"/>
      <c r="C755" s="2"/>
      <c r="D755" s="2"/>
    </row>
    <row r="756" ht="15.75" customHeight="1">
      <c r="A756" s="2"/>
      <c r="B756" s="2"/>
      <c r="C756" s="2"/>
      <c r="D756" s="2"/>
    </row>
    <row r="757" ht="15.75" customHeight="1">
      <c r="A757" s="2"/>
      <c r="B757" s="2"/>
      <c r="C757" s="2"/>
      <c r="D757" s="2"/>
    </row>
    <row r="758" ht="15.75" customHeight="1">
      <c r="A758" s="2"/>
      <c r="B758" s="2"/>
      <c r="C758" s="2"/>
      <c r="D758" s="2"/>
    </row>
    <row r="759" ht="15.75" customHeight="1">
      <c r="A759" s="2"/>
      <c r="B759" s="2"/>
      <c r="C759" s="2"/>
      <c r="D759" s="2"/>
    </row>
    <row r="760" ht="15.75" customHeight="1">
      <c r="A760" s="2"/>
      <c r="B760" s="2"/>
      <c r="C760" s="2"/>
      <c r="D760" s="2"/>
    </row>
    <row r="761" ht="15.75" customHeight="1">
      <c r="A761" s="2"/>
      <c r="B761" s="2"/>
      <c r="C761" s="2"/>
      <c r="D761" s="2"/>
    </row>
    <row r="762" ht="15.75" customHeight="1">
      <c r="A762" s="2"/>
      <c r="B762" s="2"/>
      <c r="C762" s="2"/>
      <c r="D762" s="2"/>
    </row>
    <row r="763" ht="15.75" customHeight="1">
      <c r="A763" s="2"/>
      <c r="B763" s="2"/>
      <c r="C763" s="2"/>
      <c r="D763" s="2"/>
    </row>
    <row r="764" ht="15.75" customHeight="1">
      <c r="A764" s="2"/>
      <c r="B764" s="2"/>
      <c r="C764" s="2"/>
      <c r="D764" s="2"/>
    </row>
    <row r="765" ht="15.75" customHeight="1">
      <c r="A765" s="2"/>
      <c r="B765" s="2"/>
      <c r="C765" s="2"/>
      <c r="D765" s="2"/>
    </row>
    <row r="766" ht="15.75" customHeight="1">
      <c r="A766" s="2"/>
      <c r="B766" s="2"/>
      <c r="C766" s="2"/>
      <c r="D766" s="2"/>
    </row>
    <row r="767" ht="15.75" customHeight="1">
      <c r="A767" s="2"/>
      <c r="B767" s="2"/>
      <c r="C767" s="2"/>
      <c r="D767" s="2"/>
    </row>
    <row r="768" ht="15.75" customHeight="1">
      <c r="A768" s="2"/>
      <c r="B768" s="2"/>
      <c r="C768" s="2"/>
      <c r="D768" s="2"/>
    </row>
    <row r="769" ht="15.75" customHeight="1">
      <c r="A769" s="2"/>
      <c r="B769" s="2"/>
      <c r="C769" s="2"/>
      <c r="D769" s="2"/>
    </row>
    <row r="770" ht="15.75" customHeight="1">
      <c r="A770" s="2"/>
      <c r="B770" s="2"/>
      <c r="C770" s="2"/>
      <c r="D770" s="2"/>
    </row>
    <row r="771" ht="15.75" customHeight="1">
      <c r="A771" s="2"/>
      <c r="B771" s="2"/>
      <c r="C771" s="2"/>
      <c r="D771" s="2"/>
    </row>
    <row r="772" ht="15.75" customHeight="1">
      <c r="A772" s="2"/>
      <c r="B772" s="2"/>
      <c r="C772" s="2"/>
      <c r="D772" s="2"/>
    </row>
    <row r="773" ht="15.75" customHeight="1">
      <c r="A773" s="2"/>
      <c r="B773" s="2"/>
      <c r="C773" s="2"/>
      <c r="D773" s="2"/>
    </row>
    <row r="774" ht="15.75" customHeight="1">
      <c r="A774" s="2"/>
      <c r="B774" s="2"/>
      <c r="C774" s="2"/>
      <c r="D774" s="2"/>
    </row>
    <row r="775" ht="15.75" customHeight="1">
      <c r="A775" s="2"/>
      <c r="B775" s="2"/>
      <c r="C775" s="2"/>
      <c r="D775" s="2"/>
    </row>
    <row r="776" ht="15.75" customHeight="1">
      <c r="A776" s="2"/>
      <c r="B776" s="2"/>
      <c r="C776" s="2"/>
      <c r="D776" s="2"/>
    </row>
    <row r="777" ht="15.75" customHeight="1">
      <c r="A777" s="2"/>
      <c r="B777" s="2"/>
      <c r="C777" s="2"/>
      <c r="D777" s="2"/>
    </row>
    <row r="778" ht="15.75" customHeight="1">
      <c r="A778" s="2"/>
      <c r="B778" s="2"/>
      <c r="C778" s="2"/>
      <c r="D778" s="2"/>
    </row>
    <row r="779" ht="15.75" customHeight="1">
      <c r="A779" s="2"/>
      <c r="B779" s="2"/>
      <c r="C779" s="2"/>
      <c r="D779" s="2"/>
    </row>
    <row r="780" ht="15.75" customHeight="1">
      <c r="A780" s="2"/>
      <c r="B780" s="2"/>
      <c r="C780" s="2"/>
      <c r="D780" s="2"/>
    </row>
    <row r="781" ht="15.75" customHeight="1">
      <c r="A781" s="2"/>
      <c r="B781" s="2"/>
      <c r="C781" s="2"/>
      <c r="D781" s="2"/>
    </row>
    <row r="782" ht="15.75" customHeight="1">
      <c r="A782" s="2"/>
      <c r="B782" s="2"/>
      <c r="C782" s="2"/>
      <c r="D782" s="2"/>
    </row>
    <row r="783" ht="15.75" customHeight="1">
      <c r="A783" s="2"/>
      <c r="B783" s="2"/>
      <c r="C783" s="2"/>
      <c r="D783" s="2"/>
    </row>
    <row r="784" ht="15.75" customHeight="1">
      <c r="A784" s="2"/>
      <c r="B784" s="2"/>
      <c r="C784" s="2"/>
      <c r="D784" s="2"/>
    </row>
    <row r="785" ht="15.75" customHeight="1">
      <c r="A785" s="2"/>
      <c r="B785" s="2"/>
      <c r="C785" s="2"/>
      <c r="D785" s="2"/>
    </row>
    <row r="786" ht="15.75" customHeight="1">
      <c r="A786" s="2"/>
      <c r="B786" s="2"/>
      <c r="C786" s="2"/>
      <c r="D786" s="2"/>
    </row>
    <row r="787" ht="15.75" customHeight="1">
      <c r="A787" s="2"/>
      <c r="B787" s="2"/>
      <c r="C787" s="2"/>
      <c r="D787" s="2"/>
    </row>
    <row r="788" ht="15.75" customHeight="1">
      <c r="A788" s="2"/>
      <c r="B788" s="2"/>
      <c r="C788" s="2"/>
      <c r="D788" s="2"/>
    </row>
    <row r="789" ht="15.75" customHeight="1">
      <c r="A789" s="2"/>
      <c r="B789" s="2"/>
      <c r="C789" s="2"/>
      <c r="D789" s="2"/>
    </row>
    <row r="790" ht="15.75" customHeight="1">
      <c r="A790" s="2"/>
      <c r="B790" s="2"/>
      <c r="C790" s="2"/>
      <c r="D790" s="2"/>
    </row>
    <row r="791" ht="15.75" customHeight="1">
      <c r="A791" s="2"/>
      <c r="B791" s="2"/>
      <c r="C791" s="2"/>
      <c r="D791" s="2"/>
    </row>
    <row r="792" ht="15.75" customHeight="1">
      <c r="A792" s="2"/>
      <c r="B792" s="2"/>
      <c r="C792" s="2"/>
      <c r="D792" s="2"/>
    </row>
    <row r="793" ht="15.75" customHeight="1">
      <c r="A793" s="2"/>
      <c r="B793" s="2"/>
      <c r="C793" s="2"/>
      <c r="D793" s="2"/>
    </row>
    <row r="794" ht="15.75" customHeight="1">
      <c r="A794" s="2"/>
      <c r="B794" s="2"/>
      <c r="C794" s="2"/>
      <c r="D794" s="2"/>
    </row>
    <row r="795" ht="15.75" customHeight="1">
      <c r="A795" s="2"/>
      <c r="B795" s="2"/>
      <c r="C795" s="2"/>
      <c r="D795" s="2"/>
    </row>
    <row r="796" ht="15.75" customHeight="1">
      <c r="A796" s="2"/>
      <c r="B796" s="2"/>
      <c r="C796" s="2"/>
      <c r="D796" s="2"/>
    </row>
    <row r="797" ht="15.75" customHeight="1">
      <c r="A797" s="2"/>
      <c r="B797" s="2"/>
      <c r="C797" s="2"/>
      <c r="D797" s="2"/>
    </row>
    <row r="798" ht="15.75" customHeight="1">
      <c r="A798" s="2"/>
      <c r="B798" s="2"/>
      <c r="C798" s="2"/>
      <c r="D798" s="2"/>
    </row>
    <row r="799" ht="15.75" customHeight="1">
      <c r="A799" s="2"/>
      <c r="B799" s="2"/>
      <c r="C799" s="2"/>
      <c r="D799" s="2"/>
    </row>
    <row r="800" ht="15.75" customHeight="1">
      <c r="A800" s="2"/>
      <c r="B800" s="2"/>
      <c r="C800" s="2"/>
      <c r="D800" s="2"/>
    </row>
    <row r="801" ht="15.75" customHeight="1">
      <c r="A801" s="2"/>
      <c r="B801" s="2"/>
      <c r="C801" s="2"/>
      <c r="D801" s="2"/>
    </row>
    <row r="802" ht="15.75" customHeight="1">
      <c r="A802" s="2"/>
      <c r="B802" s="2"/>
      <c r="C802" s="2"/>
      <c r="D802" s="2"/>
    </row>
    <row r="803" ht="15.75" customHeight="1">
      <c r="A803" s="2"/>
      <c r="B803" s="2"/>
      <c r="C803" s="2"/>
      <c r="D803" s="2"/>
    </row>
    <row r="804" ht="15.75" customHeight="1">
      <c r="A804" s="2"/>
      <c r="B804" s="2"/>
      <c r="C804" s="2"/>
      <c r="D804" s="2"/>
    </row>
    <row r="805" ht="15.75" customHeight="1">
      <c r="A805" s="2"/>
      <c r="B805" s="2"/>
      <c r="C805" s="2"/>
      <c r="D805" s="2"/>
    </row>
    <row r="806" ht="15.75" customHeight="1">
      <c r="A806" s="2"/>
      <c r="B806" s="2"/>
      <c r="C806" s="2"/>
      <c r="D806" s="2"/>
    </row>
    <row r="807" ht="15.75" customHeight="1">
      <c r="A807" s="2"/>
      <c r="B807" s="2"/>
      <c r="C807" s="2"/>
      <c r="D807" s="2"/>
    </row>
    <row r="808" ht="15.75" customHeight="1">
      <c r="A808" s="2"/>
      <c r="B808" s="2"/>
      <c r="C808" s="2"/>
      <c r="D808" s="2"/>
    </row>
    <row r="809" ht="15.75" customHeight="1">
      <c r="A809" s="2"/>
      <c r="B809" s="2"/>
      <c r="C809" s="2"/>
      <c r="D809" s="2"/>
    </row>
    <row r="810" ht="15.75" customHeight="1">
      <c r="A810" s="2"/>
      <c r="B810" s="2"/>
      <c r="C810" s="2"/>
      <c r="D810" s="2"/>
    </row>
    <row r="811" ht="15.75" customHeight="1">
      <c r="A811" s="2"/>
      <c r="B811" s="2"/>
      <c r="C811" s="2"/>
      <c r="D811" s="2"/>
    </row>
    <row r="812" ht="15.75" customHeight="1">
      <c r="A812" s="2"/>
      <c r="B812" s="2"/>
      <c r="C812" s="2"/>
      <c r="D812" s="2"/>
    </row>
    <row r="813" ht="15.75" customHeight="1">
      <c r="A813" s="2"/>
      <c r="B813" s="2"/>
      <c r="C813" s="2"/>
      <c r="D813" s="2"/>
    </row>
    <row r="814" ht="15.75" customHeight="1">
      <c r="A814" s="2"/>
      <c r="B814" s="2"/>
      <c r="C814" s="2"/>
      <c r="D814" s="2"/>
    </row>
    <row r="815" ht="15.75" customHeight="1">
      <c r="A815" s="2"/>
      <c r="B815" s="2"/>
      <c r="C815" s="2"/>
      <c r="D815" s="2"/>
    </row>
    <row r="816" ht="15.75" customHeight="1">
      <c r="A816" s="2"/>
      <c r="B816" s="2"/>
      <c r="C816" s="2"/>
      <c r="D816" s="2"/>
    </row>
    <row r="817" ht="15.75" customHeight="1">
      <c r="A817" s="2"/>
      <c r="B817" s="2"/>
      <c r="C817" s="2"/>
      <c r="D817" s="2"/>
    </row>
    <row r="818" ht="15.75" customHeight="1">
      <c r="A818" s="2"/>
      <c r="B818" s="2"/>
      <c r="C818" s="2"/>
      <c r="D818" s="2"/>
    </row>
    <row r="819" ht="15.75" customHeight="1">
      <c r="A819" s="2"/>
      <c r="B819" s="2"/>
      <c r="C819" s="2"/>
      <c r="D819" s="2"/>
    </row>
    <row r="820" ht="15.75" customHeight="1">
      <c r="A820" s="2"/>
      <c r="B820" s="2"/>
      <c r="C820" s="2"/>
      <c r="D820" s="2"/>
    </row>
    <row r="821" ht="15.75" customHeight="1">
      <c r="A821" s="2"/>
      <c r="B821" s="2"/>
      <c r="C821" s="2"/>
      <c r="D821" s="2"/>
    </row>
    <row r="822" ht="15.75" customHeight="1">
      <c r="A822" s="2"/>
      <c r="B822" s="2"/>
      <c r="C822" s="2"/>
      <c r="D822" s="2"/>
    </row>
    <row r="823" ht="15.75" customHeight="1">
      <c r="A823" s="2"/>
      <c r="B823" s="2"/>
      <c r="C823" s="2"/>
      <c r="D823" s="2"/>
    </row>
    <row r="824" ht="15.75" customHeight="1">
      <c r="A824" s="2"/>
      <c r="B824" s="2"/>
      <c r="C824" s="2"/>
      <c r="D824" s="2"/>
    </row>
    <row r="825" ht="15.75" customHeight="1">
      <c r="A825" s="2"/>
      <c r="B825" s="2"/>
      <c r="C825" s="2"/>
      <c r="D825" s="2"/>
    </row>
    <row r="826" ht="15.75" customHeight="1">
      <c r="A826" s="2"/>
      <c r="B826" s="2"/>
      <c r="C826" s="2"/>
      <c r="D826" s="2"/>
    </row>
    <row r="827" ht="15.75" customHeight="1">
      <c r="A827" s="2"/>
      <c r="B827" s="2"/>
      <c r="C827" s="2"/>
      <c r="D827" s="2"/>
    </row>
    <row r="828" ht="15.75" customHeight="1">
      <c r="A828" s="2"/>
      <c r="B828" s="2"/>
      <c r="C828" s="2"/>
      <c r="D828" s="2"/>
    </row>
    <row r="829" ht="15.75" customHeight="1">
      <c r="A829" s="2"/>
      <c r="B829" s="2"/>
      <c r="C829" s="2"/>
      <c r="D829" s="2"/>
    </row>
    <row r="830" ht="15.75" customHeight="1">
      <c r="A830" s="2"/>
      <c r="B830" s="2"/>
      <c r="C830" s="2"/>
      <c r="D830" s="2"/>
    </row>
    <row r="831" ht="15.75" customHeight="1">
      <c r="A831" s="2"/>
      <c r="B831" s="2"/>
      <c r="C831" s="2"/>
      <c r="D831" s="2"/>
    </row>
    <row r="832" ht="15.75" customHeight="1">
      <c r="A832" s="2"/>
      <c r="B832" s="2"/>
      <c r="C832" s="2"/>
      <c r="D832" s="2"/>
    </row>
    <row r="833" ht="15.75" customHeight="1">
      <c r="A833" s="2"/>
      <c r="B833" s="2"/>
      <c r="C833" s="2"/>
      <c r="D833" s="2"/>
    </row>
    <row r="834" ht="15.75" customHeight="1">
      <c r="A834" s="2"/>
      <c r="B834" s="2"/>
      <c r="C834" s="2"/>
      <c r="D834" s="2"/>
    </row>
    <row r="835" ht="15.75" customHeight="1">
      <c r="A835" s="2"/>
      <c r="B835" s="2"/>
      <c r="C835" s="2"/>
      <c r="D835" s="2"/>
    </row>
    <row r="836" ht="15.75" customHeight="1">
      <c r="A836" s="2"/>
      <c r="B836" s="2"/>
      <c r="C836" s="2"/>
      <c r="D836" s="2"/>
    </row>
    <row r="837" ht="15.75" customHeight="1">
      <c r="A837" s="2"/>
      <c r="B837" s="2"/>
      <c r="C837" s="2"/>
      <c r="D837" s="2"/>
    </row>
    <row r="838" ht="15.75" customHeight="1">
      <c r="A838" s="2"/>
      <c r="B838" s="2"/>
      <c r="C838" s="2"/>
      <c r="D838" s="2"/>
    </row>
    <row r="839" ht="15.75" customHeight="1">
      <c r="A839" s="2"/>
      <c r="B839" s="2"/>
      <c r="C839" s="2"/>
      <c r="D839" s="2"/>
    </row>
    <row r="840" ht="15.75" customHeight="1">
      <c r="A840" s="2"/>
      <c r="B840" s="2"/>
      <c r="C840" s="2"/>
      <c r="D840" s="2"/>
    </row>
    <row r="841" ht="15.75" customHeight="1">
      <c r="A841" s="2"/>
      <c r="B841" s="2"/>
      <c r="C841" s="2"/>
      <c r="D841" s="2"/>
    </row>
    <row r="842" ht="15.75" customHeight="1">
      <c r="A842" s="2"/>
      <c r="B842" s="2"/>
      <c r="C842" s="2"/>
      <c r="D842" s="2"/>
    </row>
    <row r="843" ht="15.75" customHeight="1">
      <c r="A843" s="2"/>
      <c r="B843" s="2"/>
      <c r="C843" s="2"/>
      <c r="D843" s="2"/>
    </row>
    <row r="844" ht="15.75" customHeight="1">
      <c r="A844" s="2"/>
      <c r="B844" s="2"/>
      <c r="C844" s="2"/>
      <c r="D844" s="2"/>
    </row>
    <row r="845" ht="15.75" customHeight="1">
      <c r="A845" s="2"/>
      <c r="B845" s="2"/>
      <c r="C845" s="2"/>
      <c r="D845" s="2"/>
    </row>
    <row r="846" ht="15.75" customHeight="1">
      <c r="A846" s="2"/>
      <c r="B846" s="2"/>
      <c r="C846" s="2"/>
      <c r="D846" s="2"/>
    </row>
    <row r="847" ht="15.75" customHeight="1">
      <c r="A847" s="2"/>
      <c r="B847" s="2"/>
      <c r="C847" s="2"/>
      <c r="D847" s="2"/>
    </row>
    <row r="848" ht="15.75" customHeight="1">
      <c r="A848" s="2"/>
      <c r="B848" s="2"/>
      <c r="C848" s="2"/>
      <c r="D848" s="2"/>
    </row>
    <row r="849" ht="15.75" customHeight="1">
      <c r="A849" s="2"/>
      <c r="B849" s="2"/>
      <c r="C849" s="2"/>
      <c r="D849" s="2"/>
    </row>
    <row r="850" ht="15.75" customHeight="1">
      <c r="A850" s="2"/>
      <c r="B850" s="2"/>
      <c r="C850" s="2"/>
      <c r="D850" s="2"/>
    </row>
    <row r="851" ht="15.75" customHeight="1">
      <c r="A851" s="2"/>
      <c r="B851" s="2"/>
      <c r="C851" s="2"/>
      <c r="D851" s="2"/>
    </row>
    <row r="852" ht="15.75" customHeight="1">
      <c r="A852" s="2"/>
      <c r="B852" s="2"/>
      <c r="C852" s="2"/>
      <c r="D852" s="2"/>
    </row>
    <row r="853" ht="15.75" customHeight="1">
      <c r="A853" s="2"/>
      <c r="B853" s="2"/>
      <c r="C853" s="2"/>
      <c r="D853" s="2"/>
    </row>
    <row r="854" ht="15.75" customHeight="1">
      <c r="A854" s="2"/>
      <c r="B854" s="2"/>
      <c r="C854" s="2"/>
      <c r="D854" s="2"/>
    </row>
    <row r="855" ht="15.75" customHeight="1">
      <c r="A855" s="2"/>
      <c r="B855" s="2"/>
      <c r="C855" s="2"/>
      <c r="D855" s="2"/>
    </row>
    <row r="856" ht="15.75" customHeight="1">
      <c r="A856" s="2"/>
      <c r="B856" s="2"/>
      <c r="C856" s="2"/>
      <c r="D856" s="2"/>
    </row>
    <row r="857" ht="15.75" customHeight="1">
      <c r="A857" s="2"/>
      <c r="B857" s="2"/>
      <c r="C857" s="2"/>
      <c r="D857" s="2"/>
    </row>
    <row r="858" ht="15.75" customHeight="1">
      <c r="A858" s="2"/>
      <c r="B858" s="2"/>
      <c r="C858" s="2"/>
      <c r="D858" s="2"/>
    </row>
    <row r="859" ht="15.75" customHeight="1">
      <c r="A859" s="2"/>
      <c r="B859" s="2"/>
      <c r="C859" s="2"/>
      <c r="D859" s="2"/>
    </row>
    <row r="860" ht="15.75" customHeight="1">
      <c r="A860" s="2"/>
      <c r="B860" s="2"/>
      <c r="C860" s="2"/>
      <c r="D860" s="2"/>
    </row>
    <row r="861" ht="15.75" customHeight="1">
      <c r="A861" s="2"/>
      <c r="B861" s="2"/>
      <c r="C861" s="2"/>
      <c r="D861" s="2"/>
    </row>
    <row r="862" ht="15.75" customHeight="1">
      <c r="A862" s="2"/>
      <c r="B862" s="2"/>
      <c r="C862" s="2"/>
      <c r="D862" s="2"/>
    </row>
    <row r="863" ht="15.75" customHeight="1">
      <c r="A863" s="2"/>
      <c r="B863" s="2"/>
      <c r="C863" s="2"/>
      <c r="D863" s="2"/>
    </row>
    <row r="864" ht="15.75" customHeight="1">
      <c r="A864" s="2"/>
      <c r="B864" s="2"/>
      <c r="C864" s="2"/>
      <c r="D864" s="2"/>
    </row>
    <row r="865" ht="15.75" customHeight="1">
      <c r="A865" s="2"/>
      <c r="B865" s="2"/>
      <c r="C865" s="2"/>
      <c r="D865" s="2"/>
    </row>
    <row r="866" ht="15.75" customHeight="1">
      <c r="A866" s="2"/>
      <c r="B866" s="2"/>
      <c r="C866" s="2"/>
      <c r="D866" s="2"/>
    </row>
    <row r="867" ht="15.75" customHeight="1">
      <c r="A867" s="2"/>
      <c r="B867" s="2"/>
      <c r="C867" s="2"/>
      <c r="D867" s="2"/>
    </row>
    <row r="868" ht="15.75" customHeight="1">
      <c r="A868" s="2"/>
      <c r="B868" s="2"/>
      <c r="C868" s="2"/>
      <c r="D868" s="2"/>
    </row>
    <row r="869" ht="15.75" customHeight="1">
      <c r="A869" s="2"/>
      <c r="B869" s="2"/>
      <c r="C869" s="2"/>
      <c r="D869" s="2"/>
    </row>
    <row r="870" ht="15.75" customHeight="1">
      <c r="A870" s="2"/>
      <c r="B870" s="2"/>
      <c r="C870" s="2"/>
      <c r="D870" s="2"/>
    </row>
    <row r="871" ht="15.75" customHeight="1">
      <c r="A871" s="2"/>
      <c r="B871" s="2"/>
      <c r="C871" s="2"/>
      <c r="D871" s="2"/>
    </row>
    <row r="872" ht="15.75" customHeight="1">
      <c r="A872" s="2"/>
      <c r="B872" s="2"/>
      <c r="C872" s="2"/>
      <c r="D872" s="2"/>
    </row>
    <row r="873" ht="15.75" customHeight="1">
      <c r="A873" s="2"/>
      <c r="B873" s="2"/>
      <c r="C873" s="2"/>
      <c r="D873" s="2"/>
    </row>
    <row r="874" ht="15.75" customHeight="1">
      <c r="A874" s="2"/>
      <c r="B874" s="2"/>
      <c r="C874" s="2"/>
      <c r="D874" s="2"/>
    </row>
    <row r="875" ht="15.75" customHeight="1">
      <c r="A875" s="2"/>
      <c r="B875" s="2"/>
      <c r="C875" s="2"/>
      <c r="D875" s="2"/>
    </row>
    <row r="876" ht="15.75" customHeight="1">
      <c r="A876" s="2"/>
      <c r="B876" s="2"/>
      <c r="C876" s="2"/>
      <c r="D876" s="2"/>
    </row>
    <row r="877" ht="15.75" customHeight="1">
      <c r="A877" s="2"/>
      <c r="B877" s="2"/>
      <c r="C877" s="2"/>
      <c r="D877" s="2"/>
    </row>
    <row r="878" ht="15.75" customHeight="1">
      <c r="A878" s="2"/>
      <c r="B878" s="2"/>
      <c r="C878" s="2"/>
      <c r="D878" s="2"/>
    </row>
    <row r="879" ht="15.75" customHeight="1">
      <c r="A879" s="2"/>
      <c r="B879" s="2"/>
      <c r="C879" s="2"/>
      <c r="D879" s="2"/>
    </row>
    <row r="880" ht="15.75" customHeight="1">
      <c r="A880" s="2"/>
      <c r="B880" s="2"/>
      <c r="C880" s="2"/>
      <c r="D880" s="2"/>
    </row>
    <row r="881" ht="15.75" customHeight="1">
      <c r="A881" s="2"/>
      <c r="B881" s="2"/>
      <c r="C881" s="2"/>
      <c r="D881" s="2"/>
    </row>
    <row r="882" ht="15.75" customHeight="1">
      <c r="A882" s="2"/>
      <c r="B882" s="2"/>
      <c r="C882" s="2"/>
      <c r="D882" s="2"/>
    </row>
    <row r="883" ht="15.75" customHeight="1">
      <c r="A883" s="2"/>
      <c r="B883" s="2"/>
      <c r="C883" s="2"/>
      <c r="D883" s="2"/>
    </row>
    <row r="884" ht="15.75" customHeight="1">
      <c r="A884" s="2"/>
      <c r="B884" s="2"/>
      <c r="C884" s="2"/>
      <c r="D884" s="2"/>
    </row>
    <row r="885" ht="15.75" customHeight="1">
      <c r="A885" s="2"/>
      <c r="B885" s="2"/>
      <c r="C885" s="2"/>
      <c r="D885" s="2"/>
    </row>
    <row r="886" ht="15.75" customHeight="1">
      <c r="A886" s="2"/>
      <c r="B886" s="2"/>
      <c r="C886" s="2"/>
      <c r="D886" s="2"/>
    </row>
    <row r="887" ht="15.75" customHeight="1">
      <c r="A887" s="2"/>
      <c r="B887" s="2"/>
      <c r="C887" s="2"/>
      <c r="D887" s="2"/>
    </row>
    <row r="888" ht="15.75" customHeight="1">
      <c r="A888" s="2"/>
      <c r="B888" s="2"/>
      <c r="C888" s="2"/>
      <c r="D888" s="2"/>
    </row>
    <row r="889" ht="15.75" customHeight="1">
      <c r="A889" s="2"/>
      <c r="B889" s="2"/>
      <c r="C889" s="2"/>
      <c r="D889" s="2"/>
    </row>
    <row r="890" ht="15.75" customHeight="1">
      <c r="A890" s="2"/>
      <c r="B890" s="2"/>
      <c r="C890" s="2"/>
      <c r="D890" s="2"/>
    </row>
    <row r="891" ht="15.75" customHeight="1">
      <c r="A891" s="2"/>
      <c r="B891" s="2"/>
      <c r="C891" s="2"/>
      <c r="D891" s="2"/>
    </row>
    <row r="892" ht="15.75" customHeight="1">
      <c r="A892" s="2"/>
      <c r="B892" s="2"/>
      <c r="C892" s="2"/>
      <c r="D892" s="2"/>
    </row>
    <row r="893" ht="15.75" customHeight="1">
      <c r="A893" s="2"/>
      <c r="B893" s="2"/>
      <c r="C893" s="2"/>
      <c r="D893" s="2"/>
    </row>
    <row r="894" ht="15.75" customHeight="1">
      <c r="A894" s="2"/>
      <c r="B894" s="2"/>
      <c r="C894" s="2"/>
      <c r="D894" s="2"/>
    </row>
    <row r="895" ht="15.75" customHeight="1">
      <c r="A895" s="2"/>
      <c r="B895" s="2"/>
      <c r="C895" s="2"/>
      <c r="D895" s="2"/>
    </row>
    <row r="896" ht="15.75" customHeight="1">
      <c r="A896" s="2"/>
      <c r="B896" s="2"/>
      <c r="C896" s="2"/>
      <c r="D896" s="2"/>
    </row>
    <row r="897" ht="15.75" customHeight="1">
      <c r="A897" s="2"/>
      <c r="B897" s="2"/>
      <c r="C897" s="2"/>
      <c r="D897" s="2"/>
    </row>
    <row r="898" ht="15.75" customHeight="1">
      <c r="A898" s="2"/>
      <c r="B898" s="2"/>
      <c r="C898" s="2"/>
      <c r="D898" s="2"/>
    </row>
    <row r="899" ht="15.75" customHeight="1">
      <c r="A899" s="2"/>
      <c r="B899" s="2"/>
      <c r="C899" s="2"/>
      <c r="D899" s="2"/>
    </row>
    <row r="900" ht="15.75" customHeight="1">
      <c r="A900" s="2"/>
      <c r="B900" s="2"/>
      <c r="C900" s="2"/>
      <c r="D900" s="2"/>
    </row>
    <row r="901" ht="15.75" customHeight="1">
      <c r="A901" s="2"/>
      <c r="B901" s="2"/>
      <c r="C901" s="2"/>
      <c r="D901" s="2"/>
    </row>
    <row r="902" ht="15.75" customHeight="1">
      <c r="A902" s="2"/>
      <c r="B902" s="2"/>
      <c r="C902" s="2"/>
      <c r="D902" s="2"/>
    </row>
    <row r="903" ht="15.75" customHeight="1">
      <c r="A903" s="2"/>
      <c r="B903" s="2"/>
      <c r="C903" s="2"/>
      <c r="D903" s="2"/>
    </row>
    <row r="904" ht="15.75" customHeight="1">
      <c r="A904" s="2"/>
      <c r="B904" s="2"/>
      <c r="C904" s="2"/>
      <c r="D904" s="2"/>
    </row>
    <row r="905" ht="15.75" customHeight="1">
      <c r="A905" s="2"/>
      <c r="B905" s="2"/>
      <c r="C905" s="2"/>
      <c r="D905" s="2"/>
    </row>
    <row r="906" ht="15.75" customHeight="1">
      <c r="A906" s="2"/>
      <c r="B906" s="2"/>
      <c r="C906" s="2"/>
      <c r="D906" s="2"/>
    </row>
    <row r="907" ht="15.75" customHeight="1">
      <c r="A907" s="2"/>
      <c r="B907" s="2"/>
      <c r="C907" s="2"/>
      <c r="D907" s="2"/>
    </row>
    <row r="908" ht="15.75" customHeight="1">
      <c r="A908" s="2"/>
      <c r="B908" s="2"/>
      <c r="C908" s="2"/>
      <c r="D908" s="2"/>
    </row>
    <row r="909" ht="15.75" customHeight="1">
      <c r="A909" s="2"/>
      <c r="B909" s="2"/>
      <c r="C909" s="2"/>
      <c r="D909" s="2"/>
    </row>
    <row r="910" ht="15.75" customHeight="1">
      <c r="A910" s="2"/>
      <c r="B910" s="2"/>
      <c r="C910" s="2"/>
      <c r="D910" s="2"/>
    </row>
    <row r="911" ht="15.75" customHeight="1">
      <c r="A911" s="2"/>
      <c r="B911" s="2"/>
      <c r="C911" s="2"/>
      <c r="D911" s="2"/>
    </row>
    <row r="912" ht="15.75" customHeight="1">
      <c r="A912" s="2"/>
      <c r="B912" s="2"/>
      <c r="C912" s="2"/>
      <c r="D912" s="2"/>
    </row>
    <row r="913" ht="15.75" customHeight="1">
      <c r="A913" s="2"/>
      <c r="B913" s="2"/>
      <c r="C913" s="2"/>
      <c r="D913" s="2"/>
    </row>
    <row r="914" ht="15.75" customHeight="1">
      <c r="A914" s="2"/>
      <c r="B914" s="2"/>
      <c r="C914" s="2"/>
      <c r="D914" s="2"/>
    </row>
    <row r="915" ht="15.75" customHeight="1">
      <c r="A915" s="2"/>
      <c r="B915" s="2"/>
      <c r="C915" s="2"/>
      <c r="D915" s="2"/>
    </row>
    <row r="916" ht="15.75" customHeight="1">
      <c r="A916" s="2"/>
      <c r="B916" s="2"/>
      <c r="C916" s="2"/>
      <c r="D916" s="2"/>
    </row>
    <row r="917" ht="15.75" customHeight="1">
      <c r="A917" s="2"/>
      <c r="B917" s="2"/>
      <c r="C917" s="2"/>
      <c r="D917" s="2"/>
    </row>
    <row r="918" ht="15.75" customHeight="1">
      <c r="A918" s="2"/>
      <c r="B918" s="2"/>
      <c r="C918" s="2"/>
      <c r="D918" s="2"/>
    </row>
    <row r="919" ht="15.75" customHeight="1">
      <c r="A919" s="2"/>
      <c r="B919" s="2"/>
      <c r="C919" s="2"/>
      <c r="D919" s="2"/>
    </row>
    <row r="920" ht="15.75" customHeight="1">
      <c r="A920" s="2"/>
      <c r="B920" s="2"/>
      <c r="C920" s="2"/>
      <c r="D920" s="2"/>
    </row>
    <row r="921" ht="15.75" customHeight="1">
      <c r="A921" s="2"/>
      <c r="B921" s="2"/>
      <c r="C921" s="2"/>
      <c r="D921" s="2"/>
    </row>
    <row r="922" ht="15.75" customHeight="1">
      <c r="A922" s="2"/>
      <c r="B922" s="2"/>
      <c r="C922" s="2"/>
      <c r="D922" s="2"/>
    </row>
    <row r="923" ht="15.75" customHeight="1">
      <c r="A923" s="2"/>
      <c r="B923" s="2"/>
      <c r="C923" s="2"/>
      <c r="D923" s="2"/>
    </row>
    <row r="924" ht="15.75" customHeight="1">
      <c r="A924" s="2"/>
      <c r="B924" s="2"/>
      <c r="C924" s="2"/>
      <c r="D924" s="2"/>
    </row>
    <row r="925" ht="15.75" customHeight="1">
      <c r="A925" s="2"/>
      <c r="B925" s="2"/>
      <c r="C925" s="2"/>
      <c r="D925" s="2"/>
    </row>
    <row r="926" ht="15.75" customHeight="1">
      <c r="A926" s="2"/>
      <c r="B926" s="2"/>
      <c r="C926" s="2"/>
      <c r="D926" s="2"/>
    </row>
    <row r="927" ht="15.75" customHeight="1">
      <c r="A927" s="2"/>
      <c r="B927" s="2"/>
      <c r="C927" s="2"/>
      <c r="D927" s="2"/>
    </row>
    <row r="928" ht="15.75" customHeight="1">
      <c r="A928" s="2"/>
      <c r="B928" s="2"/>
      <c r="C928" s="2"/>
      <c r="D928" s="2"/>
    </row>
    <row r="929" ht="15.75" customHeight="1">
      <c r="A929" s="2"/>
      <c r="B929" s="2"/>
      <c r="C929" s="2"/>
      <c r="D929" s="2"/>
    </row>
    <row r="930" ht="15.75" customHeight="1">
      <c r="A930" s="2"/>
      <c r="B930" s="2"/>
      <c r="C930" s="2"/>
      <c r="D930" s="2"/>
    </row>
    <row r="931" ht="15.75" customHeight="1">
      <c r="A931" s="2"/>
      <c r="B931" s="2"/>
      <c r="C931" s="2"/>
      <c r="D931" s="2"/>
    </row>
    <row r="932" ht="15.75" customHeight="1">
      <c r="A932" s="2"/>
      <c r="B932" s="2"/>
      <c r="C932" s="2"/>
      <c r="D932" s="2"/>
    </row>
    <row r="933" ht="15.75" customHeight="1">
      <c r="A933" s="2"/>
      <c r="B933" s="2"/>
      <c r="C933" s="2"/>
      <c r="D933" s="2"/>
    </row>
    <row r="934" ht="15.75" customHeight="1">
      <c r="A934" s="2"/>
      <c r="B934" s="2"/>
      <c r="C934" s="2"/>
      <c r="D934" s="2"/>
    </row>
    <row r="935" ht="15.75" customHeight="1">
      <c r="A935" s="2"/>
      <c r="B935" s="2"/>
      <c r="C935" s="2"/>
      <c r="D935" s="2"/>
    </row>
    <row r="936" ht="15.75" customHeight="1">
      <c r="A936" s="2"/>
      <c r="B936" s="2"/>
      <c r="C936" s="2"/>
      <c r="D936" s="2"/>
    </row>
    <row r="937" ht="15.75" customHeight="1">
      <c r="A937" s="2"/>
      <c r="B937" s="2"/>
      <c r="C937" s="2"/>
      <c r="D937" s="2"/>
    </row>
    <row r="938" ht="15.75" customHeight="1">
      <c r="A938" s="2"/>
      <c r="B938" s="2"/>
      <c r="C938" s="2"/>
      <c r="D938" s="2"/>
    </row>
    <row r="939" ht="15.75" customHeight="1">
      <c r="A939" s="2"/>
      <c r="B939" s="2"/>
      <c r="C939" s="2"/>
      <c r="D939" s="2"/>
    </row>
    <row r="940" ht="15.75" customHeight="1">
      <c r="A940" s="2"/>
      <c r="B940" s="2"/>
      <c r="C940" s="2"/>
      <c r="D940" s="2"/>
    </row>
    <row r="941" ht="15.75" customHeight="1">
      <c r="A941" s="2"/>
      <c r="B941" s="2"/>
      <c r="C941" s="2"/>
      <c r="D941" s="2"/>
    </row>
    <row r="942" ht="15.75" customHeight="1">
      <c r="A942" s="2"/>
      <c r="B942" s="2"/>
      <c r="C942" s="2"/>
      <c r="D942" s="2"/>
    </row>
    <row r="943" ht="15.75" customHeight="1">
      <c r="A943" s="2"/>
      <c r="B943" s="2"/>
      <c r="C943" s="2"/>
      <c r="D943" s="2"/>
    </row>
    <row r="944" ht="15.75" customHeight="1">
      <c r="A944" s="2"/>
      <c r="B944" s="2"/>
      <c r="C944" s="2"/>
      <c r="D944" s="2"/>
    </row>
    <row r="945" ht="15.75" customHeight="1">
      <c r="A945" s="2"/>
      <c r="B945" s="2"/>
      <c r="C945" s="2"/>
      <c r="D945" s="2"/>
    </row>
    <row r="946" ht="15.75" customHeight="1">
      <c r="A946" s="2"/>
      <c r="B946" s="2"/>
      <c r="C946" s="2"/>
      <c r="D946" s="2"/>
    </row>
    <row r="947" ht="15.75" customHeight="1">
      <c r="A947" s="2"/>
      <c r="B947" s="2"/>
      <c r="C947" s="2"/>
      <c r="D947" s="2"/>
    </row>
    <row r="948" ht="15.75" customHeight="1">
      <c r="A948" s="2"/>
      <c r="B948" s="2"/>
      <c r="C948" s="2"/>
      <c r="D948" s="2"/>
    </row>
    <row r="949" ht="15.75" customHeight="1">
      <c r="A949" s="2"/>
      <c r="B949" s="2"/>
      <c r="C949" s="2"/>
      <c r="D949" s="2"/>
    </row>
    <row r="950" ht="15.75" customHeight="1">
      <c r="A950" s="2"/>
      <c r="B950" s="2"/>
      <c r="C950" s="2"/>
      <c r="D950" s="2"/>
    </row>
    <row r="951" ht="15.75" customHeight="1">
      <c r="A951" s="2"/>
      <c r="B951" s="2"/>
      <c r="C951" s="2"/>
      <c r="D951" s="2"/>
    </row>
    <row r="952" ht="15.75" customHeight="1">
      <c r="A952" s="2"/>
      <c r="B952" s="2"/>
      <c r="C952" s="2"/>
      <c r="D952" s="2"/>
    </row>
    <row r="953" ht="15.75" customHeight="1">
      <c r="A953" s="2"/>
      <c r="B953" s="2"/>
      <c r="C953" s="2"/>
      <c r="D953" s="2"/>
    </row>
    <row r="954" ht="15.75" customHeight="1">
      <c r="A954" s="2"/>
      <c r="B954" s="2"/>
      <c r="C954" s="2"/>
      <c r="D954" s="2"/>
    </row>
    <row r="955" ht="15.75" customHeight="1">
      <c r="A955" s="2"/>
      <c r="B955" s="2"/>
      <c r="C955" s="2"/>
      <c r="D955" s="2"/>
    </row>
    <row r="956" ht="15.75" customHeight="1">
      <c r="A956" s="2"/>
      <c r="B956" s="2"/>
      <c r="C956" s="2"/>
      <c r="D956" s="2"/>
    </row>
    <row r="957" ht="15.75" customHeight="1">
      <c r="A957" s="2"/>
      <c r="B957" s="2"/>
      <c r="C957" s="2"/>
      <c r="D957" s="2"/>
    </row>
    <row r="958" ht="15.75" customHeight="1">
      <c r="A958" s="2"/>
      <c r="B958" s="2"/>
      <c r="C958" s="2"/>
      <c r="D958" s="2"/>
    </row>
    <row r="959" ht="15.75" customHeight="1">
      <c r="A959" s="2"/>
      <c r="B959" s="2"/>
      <c r="C959" s="2"/>
      <c r="D959" s="2"/>
    </row>
    <row r="960" ht="15.75" customHeight="1">
      <c r="A960" s="2"/>
      <c r="B960" s="2"/>
      <c r="C960" s="2"/>
      <c r="D960" s="2"/>
    </row>
    <row r="961" ht="15.75" customHeight="1">
      <c r="A961" s="2"/>
      <c r="B961" s="2"/>
      <c r="C961" s="2"/>
      <c r="D961" s="2"/>
    </row>
    <row r="962" ht="15.75" customHeight="1">
      <c r="A962" s="2"/>
      <c r="B962" s="2"/>
      <c r="C962" s="2"/>
      <c r="D962" s="2"/>
    </row>
    <row r="963" ht="15.75" customHeight="1">
      <c r="A963" s="2"/>
      <c r="B963" s="2"/>
      <c r="C963" s="2"/>
      <c r="D963" s="2"/>
    </row>
    <row r="964" ht="15.75" customHeight="1">
      <c r="A964" s="2"/>
      <c r="B964" s="2"/>
      <c r="C964" s="2"/>
      <c r="D964" s="2"/>
    </row>
    <row r="965" ht="15.75" customHeight="1">
      <c r="A965" s="2"/>
      <c r="B965" s="2"/>
      <c r="C965" s="2"/>
      <c r="D965" s="2"/>
    </row>
    <row r="966" ht="15.75" customHeight="1">
      <c r="A966" s="2"/>
      <c r="B966" s="2"/>
      <c r="C966" s="2"/>
      <c r="D966" s="2"/>
    </row>
    <row r="967" ht="15.75" customHeight="1">
      <c r="A967" s="2"/>
      <c r="B967" s="2"/>
      <c r="C967" s="2"/>
      <c r="D967" s="2"/>
    </row>
    <row r="968" ht="15.75" customHeight="1">
      <c r="A968" s="2"/>
      <c r="B968" s="2"/>
      <c r="C968" s="2"/>
      <c r="D968" s="2"/>
    </row>
    <row r="969" ht="15.75" customHeight="1">
      <c r="A969" s="2"/>
      <c r="B969" s="2"/>
      <c r="C969" s="2"/>
      <c r="D969" s="2"/>
    </row>
    <row r="970" ht="15.75" customHeight="1">
      <c r="A970" s="2"/>
      <c r="B970" s="2"/>
      <c r="C970" s="2"/>
      <c r="D970" s="2"/>
    </row>
    <row r="971" ht="15.75" customHeight="1">
      <c r="A971" s="2"/>
      <c r="B971" s="2"/>
      <c r="C971" s="2"/>
      <c r="D971" s="2"/>
    </row>
    <row r="972" ht="15.75" customHeight="1">
      <c r="A972" s="2"/>
      <c r="B972" s="2"/>
      <c r="C972" s="2"/>
      <c r="D972" s="2"/>
    </row>
    <row r="973" ht="15.75" customHeight="1">
      <c r="A973" s="2"/>
      <c r="B973" s="2"/>
      <c r="C973" s="2"/>
      <c r="D973" s="2"/>
    </row>
    <row r="974" ht="15.75" customHeight="1">
      <c r="A974" s="2"/>
      <c r="B974" s="2"/>
      <c r="C974" s="2"/>
      <c r="D974" s="2"/>
    </row>
    <row r="975" ht="15.75" customHeight="1">
      <c r="A975" s="2"/>
      <c r="B975" s="2"/>
      <c r="C975" s="2"/>
      <c r="D975" s="2"/>
    </row>
    <row r="976" ht="15.75" customHeight="1">
      <c r="A976" s="2"/>
      <c r="B976" s="2"/>
      <c r="C976" s="2"/>
      <c r="D976" s="2"/>
    </row>
    <row r="977" ht="15.75" customHeight="1">
      <c r="A977" s="2"/>
      <c r="B977" s="2"/>
      <c r="C977" s="2"/>
      <c r="D977" s="2"/>
    </row>
    <row r="978" ht="15.75" customHeight="1">
      <c r="A978" s="2"/>
      <c r="B978" s="2"/>
      <c r="C978" s="2"/>
      <c r="D978" s="2"/>
    </row>
    <row r="979" ht="15.75" customHeight="1">
      <c r="A979" s="2"/>
      <c r="B979" s="2"/>
      <c r="C979" s="2"/>
      <c r="D979" s="2"/>
    </row>
    <row r="980" ht="15.75" customHeight="1">
      <c r="A980" s="2"/>
      <c r="B980" s="2"/>
      <c r="C980" s="2"/>
      <c r="D980" s="2"/>
    </row>
    <row r="981" ht="15.75" customHeight="1">
      <c r="A981" s="2"/>
      <c r="B981" s="2"/>
      <c r="C981" s="2"/>
      <c r="D981" s="2"/>
    </row>
    <row r="982" ht="15.75" customHeight="1">
      <c r="A982" s="2"/>
      <c r="B982" s="2"/>
      <c r="C982" s="2"/>
      <c r="D982" s="2"/>
    </row>
    <row r="983" ht="15.75" customHeight="1">
      <c r="A983" s="2"/>
      <c r="B983" s="2"/>
      <c r="C983" s="2"/>
      <c r="D983" s="2"/>
    </row>
    <row r="984" ht="15.75" customHeight="1">
      <c r="A984" s="2"/>
      <c r="B984" s="2"/>
      <c r="C984" s="2"/>
      <c r="D984" s="2"/>
    </row>
    <row r="985" ht="15.75" customHeight="1">
      <c r="A985" s="2"/>
      <c r="B985" s="2"/>
      <c r="C985" s="2"/>
      <c r="D985" s="2"/>
    </row>
    <row r="986" ht="15.75" customHeight="1">
      <c r="A986" s="2"/>
      <c r="B986" s="2"/>
      <c r="C986" s="2"/>
      <c r="D986" s="2"/>
    </row>
    <row r="987" ht="15.75" customHeight="1">
      <c r="A987" s="2"/>
      <c r="B987" s="2"/>
      <c r="C987" s="2"/>
      <c r="D987" s="2"/>
    </row>
    <row r="988" ht="15.75" customHeight="1">
      <c r="A988" s="2"/>
      <c r="B988" s="2"/>
      <c r="C988" s="2"/>
      <c r="D988" s="2"/>
    </row>
    <row r="989" ht="15.75" customHeight="1">
      <c r="A989" s="2"/>
      <c r="B989" s="2"/>
      <c r="C989" s="2"/>
      <c r="D989" s="2"/>
    </row>
    <row r="990" ht="15.75" customHeight="1">
      <c r="A990" s="2"/>
      <c r="B990" s="2"/>
      <c r="C990" s="2"/>
      <c r="D990" s="2"/>
    </row>
    <row r="991" ht="15.75" customHeight="1">
      <c r="A991" s="2"/>
      <c r="B991" s="2"/>
      <c r="C991" s="2"/>
      <c r="D991" s="2"/>
    </row>
    <row r="992" ht="15.75" customHeight="1">
      <c r="A992" s="2"/>
      <c r="B992" s="2"/>
      <c r="C992" s="2"/>
      <c r="D992" s="2"/>
    </row>
    <row r="993" ht="15.75" customHeight="1">
      <c r="A993" s="2"/>
      <c r="B993" s="2"/>
      <c r="C993" s="2"/>
      <c r="D993" s="2"/>
    </row>
    <row r="994" ht="15.75" customHeight="1">
      <c r="A994" s="2"/>
      <c r="B994" s="2"/>
      <c r="C994" s="2"/>
      <c r="D994" s="2"/>
    </row>
    <row r="995" ht="15.75" customHeight="1">
      <c r="A995" s="2"/>
      <c r="B995" s="2"/>
      <c r="C995" s="2"/>
      <c r="D995" s="2"/>
    </row>
    <row r="996" ht="15.75" customHeight="1">
      <c r="A996" s="2"/>
      <c r="B996" s="2"/>
      <c r="C996" s="2"/>
      <c r="D996" s="2"/>
    </row>
    <row r="997" ht="15.75" customHeight="1">
      <c r="A997" s="2"/>
      <c r="B997" s="2"/>
      <c r="C997" s="2"/>
      <c r="D997" s="2"/>
    </row>
    <row r="998" ht="15.75" customHeight="1">
      <c r="A998" s="2"/>
      <c r="B998" s="2"/>
      <c r="C998" s="2"/>
      <c r="D998" s="2"/>
    </row>
    <row r="999" ht="15.75" customHeight="1">
      <c r="A999" s="2"/>
      <c r="B999" s="2"/>
      <c r="C999" s="2"/>
      <c r="D999" s="2"/>
    </row>
    <row r="1000" ht="15.75" customHeight="1">
      <c r="A1000" s="2"/>
      <c r="B1000" s="2"/>
      <c r="C1000" s="2"/>
      <c r="D1000" s="2"/>
    </row>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44.0"/>
    <col customWidth="1" min="2" max="3" width="22.0"/>
    <col customWidth="1" min="4" max="4" width="70.0"/>
    <col customWidth="1" min="5" max="5" width="48.0"/>
    <col customWidth="1" min="6" max="26" width="8.71"/>
  </cols>
  <sheetData>
    <row r="1" ht="15.0" customHeight="1">
      <c r="A1" s="91" t="s">
        <v>463</v>
      </c>
      <c r="B1" s="2"/>
      <c r="C1" s="2"/>
      <c r="D1" s="2"/>
      <c r="E1" s="2"/>
    </row>
    <row r="2" ht="15.0" customHeight="1">
      <c r="A2" s="40" t="s">
        <v>464</v>
      </c>
      <c r="B2" s="2"/>
      <c r="C2" s="2"/>
      <c r="D2" s="2"/>
      <c r="E2" s="2"/>
    </row>
    <row r="3">
      <c r="A3" s="2"/>
      <c r="B3" s="2"/>
      <c r="C3" s="2"/>
      <c r="D3" s="2"/>
      <c r="E3" s="2"/>
    </row>
    <row r="4" ht="27.75" customHeight="1">
      <c r="A4" s="11" t="s">
        <v>465</v>
      </c>
      <c r="B4" s="11" t="s">
        <v>466</v>
      </c>
      <c r="C4" s="11" t="s">
        <v>467</v>
      </c>
      <c r="D4" s="11" t="s">
        <v>468</v>
      </c>
      <c r="E4" s="11" t="s">
        <v>35</v>
      </c>
    </row>
    <row r="5" ht="15.0" customHeight="1">
      <c r="A5" s="2" t="s">
        <v>469</v>
      </c>
      <c r="B5" s="92">
        <v>0.1</v>
      </c>
      <c r="C5" s="92">
        <v>0.5</v>
      </c>
      <c r="D5" s="2" t="s">
        <v>470</v>
      </c>
      <c r="E5" s="2" t="s">
        <v>471</v>
      </c>
    </row>
    <row r="6" ht="15.0" customHeight="1">
      <c r="A6" s="2" t="s">
        <v>472</v>
      </c>
      <c r="B6" s="92">
        <v>2.0</v>
      </c>
      <c r="C6" s="92">
        <v>10.0</v>
      </c>
      <c r="D6" s="2" t="s">
        <v>473</v>
      </c>
      <c r="E6" s="2" t="s">
        <v>474</v>
      </c>
    </row>
    <row r="7" ht="15.0" customHeight="1">
      <c r="A7" s="2" t="s">
        <v>475</v>
      </c>
      <c r="B7" s="92">
        <v>1.0</v>
      </c>
      <c r="C7" s="92">
        <v>5.0</v>
      </c>
      <c r="D7" s="2" t="s">
        <v>476</v>
      </c>
      <c r="E7" s="2"/>
    </row>
    <row r="8" ht="15.0" customHeight="1">
      <c r="A8" s="2" t="s">
        <v>477</v>
      </c>
      <c r="B8" s="92">
        <v>2.0</v>
      </c>
      <c r="C8" s="92">
        <v>10.0</v>
      </c>
      <c r="D8" s="2" t="s">
        <v>476</v>
      </c>
      <c r="E8" s="2" t="s">
        <v>478</v>
      </c>
    </row>
    <row r="9">
      <c r="A9" s="2"/>
      <c r="B9" s="2"/>
      <c r="C9" s="2"/>
      <c r="D9" s="2"/>
      <c r="E9" s="2"/>
    </row>
    <row r="10">
      <c r="A10" s="2"/>
      <c r="B10" s="2"/>
      <c r="C10" s="2"/>
      <c r="D10" s="2"/>
      <c r="E10" s="2"/>
    </row>
    <row r="11" ht="15.0" customHeight="1">
      <c r="A11" s="11" t="s">
        <v>479</v>
      </c>
      <c r="B11" s="11" t="s">
        <v>68</v>
      </c>
      <c r="C11" s="11" t="s">
        <v>69</v>
      </c>
      <c r="D11" s="11" t="s">
        <v>480</v>
      </c>
      <c r="E11" s="11" t="s">
        <v>35</v>
      </c>
    </row>
    <row r="12" ht="15.0" customHeight="1">
      <c r="A12" s="2" t="s">
        <v>481</v>
      </c>
      <c r="B12" s="93">
        <v>26170.0</v>
      </c>
      <c r="C12" s="2" t="s">
        <v>115</v>
      </c>
      <c r="D12" s="2" t="s">
        <v>482</v>
      </c>
      <c r="E12" s="2" t="s">
        <v>483</v>
      </c>
    </row>
    <row r="13" ht="15.0" customHeight="1">
      <c r="A13" s="2" t="s">
        <v>484</v>
      </c>
      <c r="B13" s="93">
        <v>25636.0</v>
      </c>
      <c r="C13" s="2" t="s">
        <v>115</v>
      </c>
      <c r="D13" s="2" t="s">
        <v>485</v>
      </c>
      <c r="E13" s="2" t="s">
        <v>486</v>
      </c>
    </row>
    <row r="14" ht="15.0" customHeight="1">
      <c r="A14" s="2" t="s">
        <v>487</v>
      </c>
      <c r="B14" s="93">
        <v>5310000.0</v>
      </c>
      <c r="C14" s="2" t="s">
        <v>213</v>
      </c>
      <c r="D14" s="2" t="s">
        <v>488</v>
      </c>
      <c r="E14" s="2" t="s">
        <v>489</v>
      </c>
    </row>
    <row r="15" ht="15.0" customHeight="1">
      <c r="A15" s="2" t="s">
        <v>490</v>
      </c>
      <c r="B15" s="93">
        <v>25500.0</v>
      </c>
      <c r="C15" s="2" t="s">
        <v>131</v>
      </c>
      <c r="D15" s="2" t="s">
        <v>488</v>
      </c>
      <c r="E15" s="2" t="s">
        <v>491</v>
      </c>
    </row>
    <row r="16">
      <c r="A16" s="2"/>
      <c r="B16" s="2"/>
      <c r="C16" s="2"/>
      <c r="D16" s="2"/>
      <c r="E16" s="2"/>
    </row>
    <row r="17">
      <c r="A17" s="2"/>
      <c r="B17" s="2"/>
      <c r="C17" s="2"/>
      <c r="D17" s="2"/>
      <c r="E17" s="2"/>
    </row>
    <row r="18" ht="15.0" customHeight="1">
      <c r="A18" s="11" t="s">
        <v>492</v>
      </c>
      <c r="B18" s="11" t="s">
        <v>493</v>
      </c>
      <c r="C18" s="2"/>
      <c r="D18" s="2"/>
      <c r="E18" s="2"/>
    </row>
    <row r="19" ht="48.0" customHeight="1">
      <c r="A19" s="4" t="s">
        <v>494</v>
      </c>
      <c r="B19" s="4" t="s">
        <v>495</v>
      </c>
    </row>
    <row r="20" ht="48.0" customHeight="1">
      <c r="A20" s="4" t="s">
        <v>496</v>
      </c>
      <c r="B20" s="4" t="s">
        <v>497</v>
      </c>
    </row>
    <row r="21" ht="48.0" customHeight="1">
      <c r="A21" s="4" t="s">
        <v>498</v>
      </c>
      <c r="B21" s="4" t="s">
        <v>499</v>
      </c>
    </row>
    <row r="22" ht="15.75" customHeight="1">
      <c r="A22" s="2"/>
      <c r="B22" s="2"/>
      <c r="C22" s="2"/>
      <c r="D22" s="2"/>
      <c r="E22" s="2"/>
    </row>
    <row r="23" ht="15.0" customHeight="1">
      <c r="A23" s="11" t="s">
        <v>500</v>
      </c>
      <c r="B23" s="11" t="s">
        <v>501</v>
      </c>
      <c r="C23" s="2"/>
      <c r="D23" s="2"/>
      <c r="E23" s="2"/>
    </row>
    <row r="24" ht="48.0" customHeight="1">
      <c r="A24" s="4" t="s">
        <v>502</v>
      </c>
      <c r="B24" s="4" t="s">
        <v>503</v>
      </c>
    </row>
    <row r="25" ht="48.0" customHeight="1">
      <c r="A25" s="4" t="s">
        <v>504</v>
      </c>
      <c r="B25" s="4" t="s">
        <v>505</v>
      </c>
    </row>
    <row r="26" ht="48.0" customHeight="1">
      <c r="A26" s="4" t="s">
        <v>506</v>
      </c>
      <c r="B26" s="4" t="s">
        <v>507</v>
      </c>
    </row>
    <row r="27" ht="48.0" customHeight="1">
      <c r="A27" s="4" t="s">
        <v>508</v>
      </c>
      <c r="B27" s="4" t="s">
        <v>509</v>
      </c>
    </row>
    <row r="28" ht="48.0" customHeight="1">
      <c r="A28" s="4" t="s">
        <v>510</v>
      </c>
      <c r="B28" s="4" t="s">
        <v>511</v>
      </c>
    </row>
    <row r="29" ht="15.75" customHeight="1">
      <c r="A29" s="2"/>
      <c r="B29" s="2"/>
      <c r="C29" s="2"/>
      <c r="D29" s="2"/>
      <c r="E29" s="2"/>
    </row>
    <row r="30" ht="15.75" customHeight="1">
      <c r="A30" s="2"/>
      <c r="B30" s="2"/>
      <c r="C30" s="2"/>
      <c r="D30" s="2"/>
      <c r="E30" s="2"/>
    </row>
    <row r="31" ht="15.75" customHeight="1">
      <c r="A31" s="2"/>
      <c r="B31" s="2"/>
      <c r="C31" s="2"/>
      <c r="D31" s="2"/>
      <c r="E31" s="2"/>
    </row>
    <row r="32" ht="15.75" customHeight="1">
      <c r="A32" s="2"/>
      <c r="B32" s="2"/>
      <c r="C32" s="2"/>
      <c r="D32" s="2"/>
      <c r="E32" s="2"/>
    </row>
    <row r="33" ht="15.75" customHeight="1">
      <c r="A33" s="2"/>
      <c r="B33" s="2"/>
      <c r="C33" s="2"/>
      <c r="D33" s="2"/>
      <c r="E33" s="2"/>
    </row>
    <row r="34" ht="15.75" customHeight="1">
      <c r="A34" s="2"/>
      <c r="B34" s="2"/>
      <c r="C34" s="2"/>
      <c r="D34" s="2"/>
      <c r="E34" s="2"/>
    </row>
    <row r="35" ht="15.75" customHeight="1">
      <c r="A35" s="2"/>
      <c r="B35" s="2"/>
      <c r="C35" s="2"/>
      <c r="D35" s="2"/>
      <c r="E35" s="2"/>
    </row>
    <row r="36" ht="15.75" customHeight="1">
      <c r="A36" s="2"/>
      <c r="B36" s="2"/>
      <c r="C36" s="2"/>
      <c r="D36" s="2"/>
      <c r="E36" s="2"/>
    </row>
    <row r="37" ht="15.75" customHeight="1">
      <c r="A37" s="2"/>
      <c r="B37" s="2"/>
      <c r="C37" s="2"/>
      <c r="D37" s="2"/>
      <c r="E37" s="2"/>
    </row>
    <row r="38" ht="15.75" customHeight="1">
      <c r="A38" s="2"/>
      <c r="B38" s="2"/>
      <c r="C38" s="2"/>
      <c r="D38" s="2"/>
      <c r="E38" s="2"/>
    </row>
    <row r="39" ht="15.75" customHeight="1">
      <c r="A39" s="2"/>
      <c r="B39" s="2"/>
      <c r="C39" s="2"/>
      <c r="D39" s="2"/>
      <c r="E39" s="2"/>
    </row>
    <row r="40" ht="15.75" customHeight="1">
      <c r="A40" s="2"/>
      <c r="B40" s="2"/>
      <c r="C40" s="2"/>
      <c r="D40" s="2"/>
      <c r="E40" s="2"/>
    </row>
    <row r="41" ht="15.75" customHeight="1">
      <c r="A41" s="2"/>
      <c r="B41" s="2"/>
      <c r="C41" s="2"/>
      <c r="D41" s="2"/>
      <c r="E41" s="2"/>
    </row>
    <row r="42" ht="15.75" customHeight="1">
      <c r="A42" s="2"/>
      <c r="B42" s="2"/>
      <c r="C42" s="2"/>
      <c r="D42" s="2"/>
      <c r="E42" s="2"/>
    </row>
    <row r="43" ht="15.75" customHeight="1">
      <c r="A43" s="2"/>
      <c r="B43" s="2"/>
      <c r="C43" s="2"/>
      <c r="D43" s="2"/>
      <c r="E43" s="2"/>
    </row>
    <row r="44" ht="15.75" customHeight="1">
      <c r="A44" s="2"/>
      <c r="B44" s="2"/>
      <c r="C44" s="2"/>
      <c r="D44" s="2"/>
      <c r="E44" s="2"/>
    </row>
    <row r="45" ht="15.75" customHeight="1">
      <c r="A45" s="2"/>
      <c r="B45" s="2"/>
      <c r="C45" s="2"/>
      <c r="D45" s="2"/>
      <c r="E45" s="2"/>
    </row>
    <row r="46" ht="15.75" customHeight="1">
      <c r="A46" s="2"/>
      <c r="B46" s="2"/>
      <c r="C46" s="2"/>
      <c r="D46" s="2"/>
      <c r="E46" s="2"/>
    </row>
    <row r="47" ht="15.75" customHeight="1">
      <c r="A47" s="2"/>
      <c r="B47" s="2"/>
      <c r="C47" s="2"/>
      <c r="D47" s="2"/>
      <c r="E47" s="2"/>
    </row>
    <row r="48" ht="15.75" customHeight="1">
      <c r="A48" s="2"/>
      <c r="B48" s="2"/>
      <c r="C48" s="2"/>
      <c r="D48" s="2"/>
      <c r="E48" s="2"/>
    </row>
    <row r="49" ht="15.75" customHeight="1">
      <c r="A49" s="2"/>
      <c r="B49" s="2"/>
      <c r="C49" s="2"/>
      <c r="D49" s="2"/>
      <c r="E49" s="2"/>
    </row>
    <row r="50" ht="15.75" customHeight="1">
      <c r="A50" s="2"/>
      <c r="B50" s="2"/>
      <c r="C50" s="2"/>
      <c r="D50" s="2"/>
      <c r="E50" s="2"/>
    </row>
    <row r="51" ht="15.75" customHeight="1">
      <c r="A51" s="2"/>
      <c r="B51" s="2"/>
      <c r="C51" s="2"/>
      <c r="D51" s="2"/>
      <c r="E51" s="2"/>
    </row>
    <row r="52" ht="15.75" customHeight="1">
      <c r="A52" s="2"/>
      <c r="B52" s="2"/>
      <c r="C52" s="2"/>
      <c r="D52" s="2"/>
      <c r="E52" s="2"/>
    </row>
    <row r="53" ht="15.75" customHeight="1">
      <c r="A53" s="2"/>
      <c r="B53" s="2"/>
      <c r="C53" s="2"/>
      <c r="D53" s="2"/>
      <c r="E53" s="2"/>
    </row>
    <row r="54" ht="15.75" customHeight="1">
      <c r="A54" s="2"/>
      <c r="B54" s="2"/>
      <c r="C54" s="2"/>
      <c r="D54" s="2"/>
      <c r="E54" s="2"/>
    </row>
    <row r="55" ht="15.75" customHeight="1">
      <c r="A55" s="2"/>
      <c r="B55" s="2"/>
      <c r="C55" s="2"/>
      <c r="D55" s="2"/>
      <c r="E55" s="2"/>
    </row>
    <row r="56" ht="15.75" customHeight="1">
      <c r="A56" s="2"/>
      <c r="B56" s="2"/>
      <c r="C56" s="2"/>
      <c r="D56" s="2"/>
      <c r="E56" s="2"/>
    </row>
    <row r="57" ht="15.75" customHeight="1">
      <c r="A57" s="2"/>
      <c r="B57" s="2"/>
      <c r="C57" s="2"/>
      <c r="D57" s="2"/>
      <c r="E57" s="2"/>
    </row>
    <row r="58" ht="15.75" customHeight="1">
      <c r="A58" s="2"/>
      <c r="B58" s="2"/>
      <c r="C58" s="2"/>
      <c r="D58" s="2"/>
      <c r="E58" s="2"/>
    </row>
    <row r="59" ht="15.75" customHeight="1">
      <c r="A59" s="2"/>
      <c r="B59" s="2"/>
      <c r="C59" s="2"/>
      <c r="D59" s="2"/>
      <c r="E59" s="2"/>
    </row>
    <row r="60" ht="15.75" customHeight="1">
      <c r="A60" s="2"/>
      <c r="B60" s="2"/>
      <c r="C60" s="2"/>
      <c r="D60" s="2"/>
      <c r="E60" s="2"/>
    </row>
    <row r="61" ht="15.75" customHeight="1">
      <c r="A61" s="2"/>
      <c r="B61" s="2"/>
      <c r="C61" s="2"/>
      <c r="D61" s="2"/>
      <c r="E61" s="2"/>
    </row>
    <row r="62" ht="15.75" customHeight="1">
      <c r="A62" s="2"/>
      <c r="B62" s="2"/>
      <c r="C62" s="2"/>
      <c r="D62" s="2"/>
      <c r="E62" s="2"/>
    </row>
    <row r="63" ht="15.75" customHeight="1">
      <c r="A63" s="2"/>
      <c r="B63" s="2"/>
      <c r="C63" s="2"/>
      <c r="D63" s="2"/>
      <c r="E63" s="2"/>
    </row>
    <row r="64" ht="15.75" customHeight="1">
      <c r="A64" s="2"/>
      <c r="B64" s="2"/>
      <c r="C64" s="2"/>
      <c r="D64" s="2"/>
      <c r="E64" s="2"/>
    </row>
    <row r="65" ht="15.75" customHeight="1">
      <c r="A65" s="2"/>
      <c r="B65" s="2"/>
      <c r="C65" s="2"/>
      <c r="D65" s="2"/>
      <c r="E65" s="2"/>
    </row>
    <row r="66" ht="15.75" customHeight="1">
      <c r="A66" s="2"/>
      <c r="B66" s="2"/>
      <c r="C66" s="2"/>
      <c r="D66" s="2"/>
      <c r="E66" s="2"/>
    </row>
    <row r="67" ht="15.75" customHeight="1">
      <c r="A67" s="2"/>
      <c r="B67" s="2"/>
      <c r="C67" s="2"/>
      <c r="D67" s="2"/>
      <c r="E67" s="2"/>
    </row>
    <row r="68" ht="15.75" customHeight="1">
      <c r="A68" s="2"/>
      <c r="B68" s="2"/>
      <c r="C68" s="2"/>
      <c r="D68" s="2"/>
      <c r="E68" s="2"/>
    </row>
    <row r="69" ht="15.75" customHeight="1">
      <c r="A69" s="2"/>
      <c r="B69" s="2"/>
      <c r="C69" s="2"/>
      <c r="D69" s="2"/>
      <c r="E69" s="2"/>
    </row>
    <row r="70" ht="15.75" customHeight="1">
      <c r="A70" s="2"/>
      <c r="B70" s="2"/>
      <c r="C70" s="2"/>
      <c r="D70" s="2"/>
      <c r="E70" s="2"/>
    </row>
    <row r="71" ht="15.75" customHeight="1">
      <c r="A71" s="2"/>
      <c r="B71" s="2"/>
      <c r="C71" s="2"/>
      <c r="D71" s="2"/>
      <c r="E71" s="2"/>
    </row>
    <row r="72" ht="15.75" customHeight="1">
      <c r="A72" s="2"/>
      <c r="B72" s="2"/>
      <c r="C72" s="2"/>
      <c r="D72" s="2"/>
      <c r="E72" s="2"/>
    </row>
    <row r="73" ht="15.75" customHeight="1">
      <c r="A73" s="2"/>
      <c r="B73" s="2"/>
      <c r="C73" s="2"/>
      <c r="D73" s="2"/>
      <c r="E73" s="2"/>
    </row>
    <row r="74" ht="15.75" customHeight="1">
      <c r="A74" s="2"/>
      <c r="B74" s="2"/>
      <c r="C74" s="2"/>
      <c r="D74" s="2"/>
      <c r="E74" s="2"/>
    </row>
    <row r="75" ht="15.75" customHeight="1">
      <c r="A75" s="2"/>
      <c r="B75" s="2"/>
      <c r="C75" s="2"/>
      <c r="D75" s="2"/>
      <c r="E75" s="2"/>
    </row>
    <row r="76" ht="15.75" customHeight="1">
      <c r="A76" s="2"/>
      <c r="B76" s="2"/>
      <c r="C76" s="2"/>
      <c r="D76" s="2"/>
      <c r="E76" s="2"/>
    </row>
    <row r="77" ht="15.75" customHeight="1">
      <c r="A77" s="2"/>
      <c r="B77" s="2"/>
      <c r="C77" s="2"/>
      <c r="D77" s="2"/>
      <c r="E77" s="2"/>
    </row>
    <row r="78" ht="15.75" customHeight="1">
      <c r="A78" s="2"/>
      <c r="B78" s="2"/>
      <c r="C78" s="2"/>
      <c r="D78" s="2"/>
      <c r="E78" s="2"/>
    </row>
    <row r="79" ht="15.75" customHeight="1">
      <c r="A79" s="2"/>
      <c r="B79" s="2"/>
      <c r="C79" s="2"/>
      <c r="D79" s="2"/>
      <c r="E79" s="2"/>
    </row>
    <row r="80" ht="15.75" customHeight="1">
      <c r="A80" s="2"/>
      <c r="B80" s="2"/>
      <c r="C80" s="2"/>
      <c r="D80" s="2"/>
      <c r="E80" s="2"/>
    </row>
    <row r="81" ht="15.75" customHeight="1">
      <c r="A81" s="2"/>
      <c r="B81" s="2"/>
      <c r="C81" s="2"/>
      <c r="D81" s="2"/>
      <c r="E81" s="2"/>
    </row>
    <row r="82" ht="15.75" customHeight="1">
      <c r="A82" s="2"/>
      <c r="B82" s="2"/>
      <c r="C82" s="2"/>
      <c r="D82" s="2"/>
      <c r="E82" s="2"/>
    </row>
    <row r="83" ht="15.75" customHeight="1">
      <c r="A83" s="2"/>
      <c r="B83" s="2"/>
      <c r="C83" s="2"/>
      <c r="D83" s="2"/>
      <c r="E83" s="2"/>
    </row>
    <row r="84" ht="15.75" customHeight="1">
      <c r="A84" s="2"/>
      <c r="B84" s="2"/>
      <c r="C84" s="2"/>
      <c r="D84" s="2"/>
      <c r="E84" s="2"/>
    </row>
    <row r="85" ht="15.75" customHeight="1">
      <c r="A85" s="2"/>
      <c r="B85" s="2"/>
      <c r="C85" s="2"/>
      <c r="D85" s="2"/>
      <c r="E85" s="2"/>
    </row>
    <row r="86" ht="15.75" customHeight="1">
      <c r="A86" s="2"/>
      <c r="B86" s="2"/>
      <c r="C86" s="2"/>
      <c r="D86" s="2"/>
      <c r="E86" s="2"/>
    </row>
    <row r="87" ht="15.75" customHeight="1">
      <c r="A87" s="2"/>
      <c r="B87" s="2"/>
      <c r="C87" s="2"/>
      <c r="D87" s="2"/>
      <c r="E87" s="2"/>
    </row>
    <row r="88" ht="15.75" customHeight="1">
      <c r="A88" s="2"/>
      <c r="B88" s="2"/>
      <c r="C88" s="2"/>
      <c r="D88" s="2"/>
      <c r="E88" s="2"/>
    </row>
    <row r="89" ht="15.75" customHeight="1">
      <c r="A89" s="2"/>
      <c r="B89" s="2"/>
      <c r="C89" s="2"/>
      <c r="D89" s="2"/>
      <c r="E89" s="2"/>
    </row>
    <row r="90" ht="15.75" customHeight="1">
      <c r="A90" s="2"/>
      <c r="B90" s="2"/>
      <c r="C90" s="2"/>
      <c r="D90" s="2"/>
      <c r="E90" s="2"/>
    </row>
    <row r="91" ht="15.75" customHeight="1">
      <c r="A91" s="2"/>
      <c r="B91" s="2"/>
      <c r="C91" s="2"/>
      <c r="D91" s="2"/>
      <c r="E91" s="2"/>
    </row>
    <row r="92" ht="15.75" customHeight="1">
      <c r="A92" s="2"/>
      <c r="B92" s="2"/>
      <c r="C92" s="2"/>
      <c r="D92" s="2"/>
      <c r="E92" s="2"/>
    </row>
    <row r="93" ht="15.75" customHeight="1">
      <c r="A93" s="2"/>
      <c r="B93" s="2"/>
      <c r="C93" s="2"/>
      <c r="D93" s="2"/>
      <c r="E93" s="2"/>
    </row>
    <row r="94" ht="15.75" customHeight="1">
      <c r="A94" s="2"/>
      <c r="B94" s="2"/>
      <c r="C94" s="2"/>
      <c r="D94" s="2"/>
      <c r="E94" s="2"/>
    </row>
    <row r="95" ht="15.75" customHeight="1">
      <c r="A95" s="2"/>
      <c r="B95" s="2"/>
      <c r="C95" s="2"/>
      <c r="D95" s="2"/>
      <c r="E95" s="2"/>
    </row>
    <row r="96" ht="15.75" customHeight="1">
      <c r="A96" s="2"/>
      <c r="B96" s="2"/>
      <c r="C96" s="2"/>
      <c r="D96" s="2"/>
      <c r="E96" s="2"/>
    </row>
    <row r="97" ht="15.75" customHeight="1">
      <c r="A97" s="2"/>
      <c r="B97" s="2"/>
      <c r="C97" s="2"/>
      <c r="D97" s="2"/>
      <c r="E97" s="2"/>
    </row>
    <row r="98" ht="15.75" customHeight="1">
      <c r="A98" s="2"/>
      <c r="B98" s="2"/>
      <c r="C98" s="2"/>
      <c r="D98" s="2"/>
      <c r="E98" s="2"/>
    </row>
    <row r="99" ht="15.75" customHeight="1">
      <c r="A99" s="2"/>
      <c r="B99" s="2"/>
      <c r="C99" s="2"/>
      <c r="D99" s="2"/>
      <c r="E99" s="2"/>
    </row>
    <row r="100" ht="15.75" customHeight="1">
      <c r="A100" s="2"/>
      <c r="B100" s="2"/>
      <c r="C100" s="2"/>
      <c r="D100" s="2"/>
      <c r="E100" s="2"/>
    </row>
    <row r="101" ht="15.75" customHeight="1">
      <c r="A101" s="2"/>
      <c r="B101" s="2"/>
      <c r="C101" s="2"/>
      <c r="D101" s="2"/>
      <c r="E101" s="2"/>
    </row>
    <row r="102" ht="15.75" customHeight="1">
      <c r="A102" s="2"/>
      <c r="B102" s="2"/>
      <c r="C102" s="2"/>
      <c r="D102" s="2"/>
      <c r="E102" s="2"/>
    </row>
    <row r="103" ht="15.75" customHeight="1">
      <c r="A103" s="2"/>
      <c r="B103" s="2"/>
      <c r="C103" s="2"/>
      <c r="D103" s="2"/>
      <c r="E103" s="2"/>
    </row>
    <row r="104" ht="15.75" customHeight="1">
      <c r="A104" s="2"/>
      <c r="B104" s="2"/>
      <c r="C104" s="2"/>
      <c r="D104" s="2"/>
      <c r="E104" s="2"/>
    </row>
    <row r="105" ht="15.75" customHeight="1">
      <c r="A105" s="2"/>
      <c r="B105" s="2"/>
      <c r="C105" s="2"/>
      <c r="D105" s="2"/>
      <c r="E105" s="2"/>
    </row>
    <row r="106" ht="15.75" customHeight="1">
      <c r="A106" s="2"/>
      <c r="B106" s="2"/>
      <c r="C106" s="2"/>
      <c r="D106" s="2"/>
      <c r="E106" s="2"/>
    </row>
    <row r="107" ht="15.75" customHeight="1">
      <c r="A107" s="2"/>
      <c r="B107" s="2"/>
      <c r="C107" s="2"/>
      <c r="D107" s="2"/>
      <c r="E107" s="2"/>
    </row>
    <row r="108" ht="15.75" customHeight="1">
      <c r="A108" s="2"/>
      <c r="B108" s="2"/>
      <c r="C108" s="2"/>
      <c r="D108" s="2"/>
      <c r="E108" s="2"/>
    </row>
    <row r="109" ht="15.75" customHeight="1">
      <c r="A109" s="2"/>
      <c r="B109" s="2"/>
      <c r="C109" s="2"/>
      <c r="D109" s="2"/>
      <c r="E109" s="2"/>
    </row>
    <row r="110" ht="15.75" customHeight="1">
      <c r="A110" s="2"/>
      <c r="B110" s="2"/>
      <c r="C110" s="2"/>
      <c r="D110" s="2"/>
      <c r="E110" s="2"/>
    </row>
    <row r="111" ht="15.75" customHeight="1">
      <c r="A111" s="2"/>
      <c r="B111" s="2"/>
      <c r="C111" s="2"/>
      <c r="D111" s="2"/>
      <c r="E111" s="2"/>
    </row>
    <row r="112" ht="15.75" customHeight="1">
      <c r="A112" s="2"/>
      <c r="B112" s="2"/>
      <c r="C112" s="2"/>
      <c r="D112" s="2"/>
      <c r="E112" s="2"/>
    </row>
    <row r="113" ht="15.75" customHeight="1">
      <c r="A113" s="2"/>
      <c r="B113" s="2"/>
      <c r="C113" s="2"/>
      <c r="D113" s="2"/>
      <c r="E113" s="2"/>
    </row>
    <row r="114" ht="15.75" customHeight="1">
      <c r="A114" s="2"/>
      <c r="B114" s="2"/>
      <c r="C114" s="2"/>
      <c r="D114" s="2"/>
      <c r="E114" s="2"/>
    </row>
    <row r="115" ht="15.75" customHeight="1">
      <c r="A115" s="2"/>
      <c r="B115" s="2"/>
      <c r="C115" s="2"/>
      <c r="D115" s="2"/>
      <c r="E115" s="2"/>
    </row>
    <row r="116" ht="15.75" customHeight="1">
      <c r="A116" s="2"/>
      <c r="B116" s="2"/>
      <c r="C116" s="2"/>
      <c r="D116" s="2"/>
      <c r="E116" s="2"/>
    </row>
    <row r="117" ht="15.75" customHeight="1">
      <c r="A117" s="2"/>
      <c r="B117" s="2"/>
      <c r="C117" s="2"/>
      <c r="D117" s="2"/>
      <c r="E117" s="2"/>
    </row>
    <row r="118" ht="15.75" customHeight="1">
      <c r="A118" s="2"/>
      <c r="B118" s="2"/>
      <c r="C118" s="2"/>
      <c r="D118" s="2"/>
      <c r="E118" s="2"/>
    </row>
    <row r="119" ht="15.75" customHeight="1">
      <c r="A119" s="2"/>
      <c r="B119" s="2"/>
      <c r="C119" s="2"/>
      <c r="D119" s="2"/>
      <c r="E119" s="2"/>
    </row>
    <row r="120" ht="15.75" customHeight="1">
      <c r="A120" s="2"/>
      <c r="B120" s="2"/>
      <c r="C120" s="2"/>
      <c r="D120" s="2"/>
      <c r="E120" s="2"/>
    </row>
    <row r="121" ht="15.75" customHeight="1">
      <c r="A121" s="2"/>
      <c r="B121" s="2"/>
      <c r="C121" s="2"/>
      <c r="D121" s="2"/>
      <c r="E121" s="2"/>
    </row>
    <row r="122" ht="15.75" customHeight="1">
      <c r="A122" s="2"/>
      <c r="B122" s="2"/>
      <c r="C122" s="2"/>
      <c r="D122" s="2"/>
      <c r="E122" s="2"/>
    </row>
    <row r="123" ht="15.75" customHeight="1">
      <c r="A123" s="2"/>
      <c r="B123" s="2"/>
      <c r="C123" s="2"/>
      <c r="D123" s="2"/>
      <c r="E123" s="2"/>
    </row>
    <row r="124" ht="15.75" customHeight="1">
      <c r="A124" s="2"/>
      <c r="B124" s="2"/>
      <c r="C124" s="2"/>
      <c r="D124" s="2"/>
      <c r="E124" s="2"/>
    </row>
    <row r="125" ht="15.75" customHeight="1">
      <c r="A125" s="2"/>
      <c r="B125" s="2"/>
      <c r="C125" s="2"/>
      <c r="D125" s="2"/>
      <c r="E125" s="2"/>
    </row>
    <row r="126" ht="15.75" customHeight="1">
      <c r="A126" s="2"/>
      <c r="B126" s="2"/>
      <c r="C126" s="2"/>
      <c r="D126" s="2"/>
      <c r="E126" s="2"/>
    </row>
    <row r="127" ht="15.75" customHeight="1">
      <c r="A127" s="2"/>
      <c r="B127" s="2"/>
      <c r="C127" s="2"/>
      <c r="D127" s="2"/>
      <c r="E127" s="2"/>
    </row>
    <row r="128" ht="15.75" customHeight="1">
      <c r="A128" s="2"/>
      <c r="B128" s="2"/>
      <c r="C128" s="2"/>
      <c r="D128" s="2"/>
      <c r="E128" s="2"/>
    </row>
    <row r="129" ht="15.75" customHeight="1">
      <c r="A129" s="2"/>
      <c r="B129" s="2"/>
      <c r="C129" s="2"/>
      <c r="D129" s="2"/>
      <c r="E129" s="2"/>
    </row>
    <row r="130" ht="15.75" customHeight="1">
      <c r="A130" s="2"/>
      <c r="B130" s="2"/>
      <c r="C130" s="2"/>
      <c r="D130" s="2"/>
      <c r="E130" s="2"/>
    </row>
    <row r="131" ht="15.75" customHeight="1">
      <c r="A131" s="2"/>
      <c r="B131" s="2"/>
      <c r="C131" s="2"/>
      <c r="D131" s="2"/>
      <c r="E131" s="2"/>
    </row>
    <row r="132" ht="15.75" customHeight="1">
      <c r="A132" s="2"/>
      <c r="B132" s="2"/>
      <c r="C132" s="2"/>
      <c r="D132" s="2"/>
      <c r="E132" s="2"/>
    </row>
    <row r="133" ht="15.75" customHeight="1">
      <c r="A133" s="2"/>
      <c r="B133" s="2"/>
      <c r="C133" s="2"/>
      <c r="D133" s="2"/>
      <c r="E133" s="2"/>
    </row>
    <row r="134" ht="15.75" customHeight="1">
      <c r="A134" s="2"/>
      <c r="B134" s="2"/>
      <c r="C134" s="2"/>
      <c r="D134" s="2"/>
      <c r="E134" s="2"/>
    </row>
    <row r="135" ht="15.75" customHeight="1">
      <c r="A135" s="2"/>
      <c r="B135" s="2"/>
      <c r="C135" s="2"/>
      <c r="D135" s="2"/>
      <c r="E135" s="2"/>
    </row>
    <row r="136" ht="15.75" customHeight="1">
      <c r="A136" s="2"/>
      <c r="B136" s="2"/>
      <c r="C136" s="2"/>
      <c r="D136" s="2"/>
      <c r="E136" s="2"/>
    </row>
    <row r="137" ht="15.75" customHeight="1">
      <c r="A137" s="2"/>
      <c r="B137" s="2"/>
      <c r="C137" s="2"/>
      <c r="D137" s="2"/>
      <c r="E137" s="2"/>
    </row>
    <row r="138" ht="15.75" customHeight="1">
      <c r="A138" s="2"/>
      <c r="B138" s="2"/>
      <c r="C138" s="2"/>
      <c r="D138" s="2"/>
      <c r="E138" s="2"/>
    </row>
    <row r="139" ht="15.75" customHeight="1">
      <c r="A139" s="2"/>
      <c r="B139" s="2"/>
      <c r="C139" s="2"/>
      <c r="D139" s="2"/>
      <c r="E139" s="2"/>
    </row>
    <row r="140" ht="15.75" customHeight="1">
      <c r="A140" s="2"/>
      <c r="B140" s="2"/>
      <c r="C140" s="2"/>
      <c r="D140" s="2"/>
      <c r="E140" s="2"/>
    </row>
    <row r="141" ht="15.75" customHeight="1">
      <c r="A141" s="2"/>
      <c r="B141" s="2"/>
      <c r="C141" s="2"/>
      <c r="D141" s="2"/>
      <c r="E141" s="2"/>
    </row>
    <row r="142" ht="15.75" customHeight="1">
      <c r="A142" s="2"/>
      <c r="B142" s="2"/>
      <c r="C142" s="2"/>
      <c r="D142" s="2"/>
      <c r="E142" s="2"/>
    </row>
    <row r="143" ht="15.75" customHeight="1">
      <c r="A143" s="2"/>
      <c r="B143" s="2"/>
      <c r="C143" s="2"/>
      <c r="D143" s="2"/>
      <c r="E143" s="2"/>
    </row>
    <row r="144" ht="15.75" customHeight="1">
      <c r="A144" s="2"/>
      <c r="B144" s="2"/>
      <c r="C144" s="2"/>
      <c r="D144" s="2"/>
      <c r="E144" s="2"/>
    </row>
    <row r="145" ht="15.75" customHeight="1">
      <c r="A145" s="2"/>
      <c r="B145" s="2"/>
      <c r="C145" s="2"/>
      <c r="D145" s="2"/>
      <c r="E145" s="2"/>
    </row>
    <row r="146" ht="15.75" customHeight="1">
      <c r="A146" s="2"/>
      <c r="B146" s="2"/>
      <c r="C146" s="2"/>
      <c r="D146" s="2"/>
      <c r="E146" s="2"/>
    </row>
    <row r="147" ht="15.75" customHeight="1">
      <c r="A147" s="2"/>
      <c r="B147" s="2"/>
      <c r="C147" s="2"/>
      <c r="D147" s="2"/>
      <c r="E147" s="2"/>
    </row>
    <row r="148" ht="15.75" customHeight="1">
      <c r="A148" s="2"/>
      <c r="B148" s="2"/>
      <c r="C148" s="2"/>
      <c r="D148" s="2"/>
      <c r="E148" s="2"/>
    </row>
    <row r="149" ht="15.75" customHeight="1">
      <c r="A149" s="2"/>
      <c r="B149" s="2"/>
      <c r="C149" s="2"/>
      <c r="D149" s="2"/>
      <c r="E149" s="2"/>
    </row>
    <row r="150" ht="15.75" customHeight="1">
      <c r="A150" s="2"/>
      <c r="B150" s="2"/>
      <c r="C150" s="2"/>
      <c r="D150" s="2"/>
      <c r="E150" s="2"/>
    </row>
    <row r="151" ht="15.75" customHeight="1">
      <c r="A151" s="2"/>
      <c r="B151" s="2"/>
      <c r="C151" s="2"/>
      <c r="D151" s="2"/>
      <c r="E151" s="2"/>
    </row>
    <row r="152" ht="15.75" customHeight="1">
      <c r="A152" s="2"/>
      <c r="B152" s="2"/>
      <c r="C152" s="2"/>
      <c r="D152" s="2"/>
      <c r="E152" s="2"/>
    </row>
    <row r="153" ht="15.75" customHeight="1">
      <c r="A153" s="2"/>
      <c r="B153" s="2"/>
      <c r="C153" s="2"/>
      <c r="D153" s="2"/>
      <c r="E153" s="2"/>
    </row>
    <row r="154" ht="15.75" customHeight="1">
      <c r="A154" s="2"/>
      <c r="B154" s="2"/>
      <c r="C154" s="2"/>
      <c r="D154" s="2"/>
      <c r="E154" s="2"/>
    </row>
    <row r="155" ht="15.75" customHeight="1">
      <c r="A155" s="2"/>
      <c r="B155" s="2"/>
      <c r="C155" s="2"/>
      <c r="D155" s="2"/>
      <c r="E155" s="2"/>
    </row>
    <row r="156" ht="15.75" customHeight="1">
      <c r="A156" s="2"/>
      <c r="B156" s="2"/>
      <c r="C156" s="2"/>
      <c r="D156" s="2"/>
      <c r="E156" s="2"/>
    </row>
    <row r="157" ht="15.75" customHeight="1">
      <c r="A157" s="2"/>
      <c r="B157" s="2"/>
      <c r="C157" s="2"/>
      <c r="D157" s="2"/>
      <c r="E157" s="2"/>
    </row>
    <row r="158" ht="15.75" customHeight="1">
      <c r="A158" s="2"/>
      <c r="B158" s="2"/>
      <c r="C158" s="2"/>
      <c r="D158" s="2"/>
      <c r="E158" s="2"/>
    </row>
    <row r="159" ht="15.75" customHeight="1">
      <c r="A159" s="2"/>
      <c r="B159" s="2"/>
      <c r="C159" s="2"/>
      <c r="D159" s="2"/>
      <c r="E159" s="2"/>
    </row>
    <row r="160" ht="15.75" customHeight="1">
      <c r="A160" s="2"/>
      <c r="B160" s="2"/>
      <c r="C160" s="2"/>
      <c r="D160" s="2"/>
      <c r="E160" s="2"/>
    </row>
    <row r="161" ht="15.75" customHeight="1">
      <c r="A161" s="2"/>
      <c r="B161" s="2"/>
      <c r="C161" s="2"/>
      <c r="D161" s="2"/>
      <c r="E161" s="2"/>
    </row>
    <row r="162" ht="15.75" customHeight="1">
      <c r="A162" s="2"/>
      <c r="B162" s="2"/>
      <c r="C162" s="2"/>
      <c r="D162" s="2"/>
      <c r="E162" s="2"/>
    </row>
    <row r="163" ht="15.75" customHeight="1">
      <c r="A163" s="2"/>
      <c r="B163" s="2"/>
      <c r="C163" s="2"/>
      <c r="D163" s="2"/>
      <c r="E163" s="2"/>
    </row>
    <row r="164" ht="15.75" customHeight="1">
      <c r="A164" s="2"/>
      <c r="B164" s="2"/>
      <c r="C164" s="2"/>
      <c r="D164" s="2"/>
      <c r="E164" s="2"/>
    </row>
    <row r="165" ht="15.75" customHeight="1">
      <c r="A165" s="2"/>
      <c r="B165" s="2"/>
      <c r="C165" s="2"/>
      <c r="D165" s="2"/>
      <c r="E165" s="2"/>
    </row>
    <row r="166" ht="15.75" customHeight="1">
      <c r="A166" s="2"/>
      <c r="B166" s="2"/>
      <c r="C166" s="2"/>
      <c r="D166" s="2"/>
      <c r="E166" s="2"/>
    </row>
    <row r="167" ht="15.75" customHeight="1">
      <c r="A167" s="2"/>
      <c r="B167" s="2"/>
      <c r="C167" s="2"/>
      <c r="D167" s="2"/>
      <c r="E167" s="2"/>
    </row>
    <row r="168" ht="15.75" customHeight="1">
      <c r="A168" s="2"/>
      <c r="B168" s="2"/>
      <c r="C168" s="2"/>
      <c r="D168" s="2"/>
      <c r="E168" s="2"/>
    </row>
    <row r="169" ht="15.75" customHeight="1">
      <c r="A169" s="2"/>
      <c r="B169" s="2"/>
      <c r="C169" s="2"/>
      <c r="D169" s="2"/>
      <c r="E169" s="2"/>
    </row>
    <row r="170" ht="15.75" customHeight="1">
      <c r="A170" s="2"/>
      <c r="B170" s="2"/>
      <c r="C170" s="2"/>
      <c r="D170" s="2"/>
      <c r="E170" s="2"/>
    </row>
    <row r="171" ht="15.75" customHeight="1">
      <c r="A171" s="2"/>
      <c r="B171" s="2"/>
      <c r="C171" s="2"/>
      <c r="D171" s="2"/>
      <c r="E171" s="2"/>
    </row>
    <row r="172" ht="15.75" customHeight="1">
      <c r="A172" s="2"/>
      <c r="B172" s="2"/>
      <c r="C172" s="2"/>
      <c r="D172" s="2"/>
      <c r="E172" s="2"/>
    </row>
    <row r="173" ht="15.75" customHeight="1">
      <c r="A173" s="2"/>
      <c r="B173" s="2"/>
      <c r="C173" s="2"/>
      <c r="D173" s="2"/>
      <c r="E173" s="2"/>
    </row>
    <row r="174" ht="15.75" customHeight="1">
      <c r="A174" s="2"/>
      <c r="B174" s="2"/>
      <c r="C174" s="2"/>
      <c r="D174" s="2"/>
      <c r="E174" s="2"/>
    </row>
    <row r="175" ht="15.75" customHeight="1">
      <c r="A175" s="2"/>
      <c r="B175" s="2"/>
      <c r="C175" s="2"/>
      <c r="D175" s="2"/>
      <c r="E175" s="2"/>
    </row>
    <row r="176" ht="15.75" customHeight="1">
      <c r="A176" s="2"/>
      <c r="B176" s="2"/>
      <c r="C176" s="2"/>
      <c r="D176" s="2"/>
      <c r="E176" s="2"/>
    </row>
    <row r="177" ht="15.75" customHeight="1">
      <c r="A177" s="2"/>
      <c r="B177" s="2"/>
      <c r="C177" s="2"/>
      <c r="D177" s="2"/>
      <c r="E177" s="2"/>
    </row>
    <row r="178" ht="15.75" customHeight="1">
      <c r="A178" s="2"/>
      <c r="B178" s="2"/>
      <c r="C178" s="2"/>
      <c r="D178" s="2"/>
      <c r="E178" s="2"/>
    </row>
    <row r="179" ht="15.75" customHeight="1">
      <c r="A179" s="2"/>
      <c r="B179" s="2"/>
      <c r="C179" s="2"/>
      <c r="D179" s="2"/>
      <c r="E179" s="2"/>
    </row>
    <row r="180" ht="15.75" customHeight="1">
      <c r="A180" s="2"/>
      <c r="B180" s="2"/>
      <c r="C180" s="2"/>
      <c r="D180" s="2"/>
      <c r="E180" s="2"/>
    </row>
    <row r="181" ht="15.75" customHeight="1">
      <c r="A181" s="2"/>
      <c r="B181" s="2"/>
      <c r="C181" s="2"/>
      <c r="D181" s="2"/>
      <c r="E181" s="2"/>
    </row>
    <row r="182" ht="15.75" customHeight="1">
      <c r="A182" s="2"/>
      <c r="B182" s="2"/>
      <c r="C182" s="2"/>
      <c r="D182" s="2"/>
      <c r="E182" s="2"/>
    </row>
    <row r="183" ht="15.75" customHeight="1">
      <c r="A183" s="2"/>
      <c r="B183" s="2"/>
      <c r="C183" s="2"/>
      <c r="D183" s="2"/>
      <c r="E183" s="2"/>
    </row>
    <row r="184" ht="15.75" customHeight="1">
      <c r="A184" s="2"/>
      <c r="B184" s="2"/>
      <c r="C184" s="2"/>
      <c r="D184" s="2"/>
      <c r="E184" s="2"/>
    </row>
    <row r="185" ht="15.75" customHeight="1">
      <c r="A185" s="2"/>
      <c r="B185" s="2"/>
      <c r="C185" s="2"/>
      <c r="D185" s="2"/>
      <c r="E185" s="2"/>
    </row>
    <row r="186" ht="15.75" customHeight="1">
      <c r="A186" s="2"/>
      <c r="B186" s="2"/>
      <c r="C186" s="2"/>
      <c r="D186" s="2"/>
      <c r="E186" s="2"/>
    </row>
    <row r="187" ht="15.75" customHeight="1">
      <c r="A187" s="2"/>
      <c r="B187" s="2"/>
      <c r="C187" s="2"/>
      <c r="D187" s="2"/>
      <c r="E187" s="2"/>
    </row>
    <row r="188" ht="15.75" customHeight="1">
      <c r="A188" s="2"/>
      <c r="B188" s="2"/>
      <c r="C188" s="2"/>
      <c r="D188" s="2"/>
      <c r="E188" s="2"/>
    </row>
    <row r="189" ht="15.75" customHeight="1">
      <c r="A189" s="2"/>
      <c r="B189" s="2"/>
      <c r="C189" s="2"/>
      <c r="D189" s="2"/>
      <c r="E189" s="2"/>
    </row>
    <row r="190" ht="15.75" customHeight="1">
      <c r="A190" s="2"/>
      <c r="B190" s="2"/>
      <c r="C190" s="2"/>
      <c r="D190" s="2"/>
      <c r="E190" s="2"/>
    </row>
    <row r="191" ht="15.75" customHeight="1">
      <c r="A191" s="2"/>
      <c r="B191" s="2"/>
      <c r="C191" s="2"/>
      <c r="D191" s="2"/>
      <c r="E191" s="2"/>
    </row>
    <row r="192" ht="15.75" customHeight="1">
      <c r="A192" s="2"/>
      <c r="B192" s="2"/>
      <c r="C192" s="2"/>
      <c r="D192" s="2"/>
      <c r="E192" s="2"/>
    </row>
    <row r="193" ht="15.75" customHeight="1">
      <c r="A193" s="2"/>
      <c r="B193" s="2"/>
      <c r="C193" s="2"/>
      <c r="D193" s="2"/>
      <c r="E193" s="2"/>
    </row>
    <row r="194" ht="15.75" customHeight="1">
      <c r="A194" s="2"/>
      <c r="B194" s="2"/>
      <c r="C194" s="2"/>
      <c r="D194" s="2"/>
      <c r="E194" s="2"/>
    </row>
    <row r="195" ht="15.75" customHeight="1">
      <c r="A195" s="2"/>
      <c r="B195" s="2"/>
      <c r="C195" s="2"/>
      <c r="D195" s="2"/>
      <c r="E195" s="2"/>
    </row>
    <row r="196" ht="15.75" customHeight="1">
      <c r="A196" s="2"/>
      <c r="B196" s="2"/>
      <c r="C196" s="2"/>
      <c r="D196" s="2"/>
      <c r="E196" s="2"/>
    </row>
    <row r="197" ht="15.75" customHeight="1">
      <c r="A197" s="2"/>
      <c r="B197" s="2"/>
      <c r="C197" s="2"/>
      <c r="D197" s="2"/>
      <c r="E197" s="2"/>
    </row>
    <row r="198" ht="15.75" customHeight="1">
      <c r="A198" s="2"/>
      <c r="B198" s="2"/>
      <c r="C198" s="2"/>
      <c r="D198" s="2"/>
      <c r="E198" s="2"/>
    </row>
    <row r="199" ht="15.75" customHeight="1">
      <c r="A199" s="2"/>
      <c r="B199" s="2"/>
      <c r="C199" s="2"/>
      <c r="D199" s="2"/>
      <c r="E199" s="2"/>
    </row>
    <row r="200" ht="15.75" customHeight="1">
      <c r="A200" s="2"/>
      <c r="B200" s="2"/>
      <c r="C200" s="2"/>
      <c r="D200" s="2"/>
      <c r="E200" s="2"/>
    </row>
    <row r="201" ht="15.75" customHeight="1">
      <c r="A201" s="2"/>
      <c r="B201" s="2"/>
      <c r="C201" s="2"/>
      <c r="D201" s="2"/>
      <c r="E201" s="2"/>
    </row>
    <row r="202" ht="15.75" customHeight="1">
      <c r="A202" s="2"/>
      <c r="B202" s="2"/>
      <c r="C202" s="2"/>
      <c r="D202" s="2"/>
      <c r="E202" s="2"/>
    </row>
    <row r="203" ht="15.75" customHeight="1">
      <c r="A203" s="2"/>
      <c r="B203" s="2"/>
      <c r="C203" s="2"/>
      <c r="D203" s="2"/>
      <c r="E203" s="2"/>
    </row>
    <row r="204" ht="15.75" customHeight="1">
      <c r="A204" s="2"/>
      <c r="B204" s="2"/>
      <c r="C204" s="2"/>
      <c r="D204" s="2"/>
      <c r="E204" s="2"/>
    </row>
    <row r="205" ht="15.75" customHeight="1">
      <c r="A205" s="2"/>
      <c r="B205" s="2"/>
      <c r="C205" s="2"/>
      <c r="D205" s="2"/>
      <c r="E205" s="2"/>
    </row>
    <row r="206" ht="15.75" customHeight="1">
      <c r="A206" s="2"/>
      <c r="B206" s="2"/>
      <c r="C206" s="2"/>
      <c r="D206" s="2"/>
      <c r="E206" s="2"/>
    </row>
    <row r="207" ht="15.75" customHeight="1">
      <c r="A207" s="2"/>
      <c r="B207" s="2"/>
      <c r="C207" s="2"/>
      <c r="D207" s="2"/>
      <c r="E207" s="2"/>
    </row>
    <row r="208" ht="15.75" customHeight="1">
      <c r="A208" s="2"/>
      <c r="B208" s="2"/>
      <c r="C208" s="2"/>
      <c r="D208" s="2"/>
      <c r="E208" s="2"/>
    </row>
    <row r="209" ht="15.75" customHeight="1">
      <c r="A209" s="2"/>
      <c r="B209" s="2"/>
      <c r="C209" s="2"/>
      <c r="D209" s="2"/>
      <c r="E209" s="2"/>
    </row>
    <row r="210" ht="15.75" customHeight="1">
      <c r="A210" s="2"/>
      <c r="B210" s="2"/>
      <c r="C210" s="2"/>
      <c r="D210" s="2"/>
      <c r="E210" s="2"/>
    </row>
    <row r="211" ht="15.75" customHeight="1">
      <c r="A211" s="2"/>
      <c r="B211" s="2"/>
      <c r="C211" s="2"/>
      <c r="D211" s="2"/>
      <c r="E211" s="2"/>
    </row>
    <row r="212" ht="15.75" customHeight="1">
      <c r="A212" s="2"/>
      <c r="B212" s="2"/>
      <c r="C212" s="2"/>
      <c r="D212" s="2"/>
      <c r="E212" s="2"/>
    </row>
    <row r="213" ht="15.75" customHeight="1">
      <c r="A213" s="2"/>
      <c r="B213" s="2"/>
      <c r="C213" s="2"/>
      <c r="D213" s="2"/>
      <c r="E213" s="2"/>
    </row>
    <row r="214" ht="15.75" customHeight="1">
      <c r="A214" s="2"/>
      <c r="B214" s="2"/>
      <c r="C214" s="2"/>
      <c r="D214" s="2"/>
      <c r="E214" s="2"/>
    </row>
    <row r="215" ht="15.75" customHeight="1">
      <c r="A215" s="2"/>
      <c r="B215" s="2"/>
      <c r="C215" s="2"/>
      <c r="D215" s="2"/>
      <c r="E215" s="2"/>
    </row>
    <row r="216" ht="15.75" customHeight="1">
      <c r="A216" s="2"/>
      <c r="B216" s="2"/>
      <c r="C216" s="2"/>
      <c r="D216" s="2"/>
      <c r="E216" s="2"/>
    </row>
    <row r="217" ht="15.75" customHeight="1">
      <c r="A217" s="2"/>
      <c r="B217" s="2"/>
      <c r="C217" s="2"/>
      <c r="D217" s="2"/>
      <c r="E217" s="2"/>
    </row>
    <row r="218" ht="15.75" customHeight="1">
      <c r="A218" s="2"/>
      <c r="B218" s="2"/>
      <c r="C218" s="2"/>
      <c r="D218" s="2"/>
      <c r="E218" s="2"/>
    </row>
    <row r="219" ht="15.75" customHeight="1">
      <c r="A219" s="2"/>
      <c r="B219" s="2"/>
      <c r="C219" s="2"/>
      <c r="D219" s="2"/>
      <c r="E219" s="2"/>
    </row>
    <row r="220" ht="15.75" customHeight="1">
      <c r="A220" s="2"/>
      <c r="B220" s="2"/>
      <c r="C220" s="2"/>
      <c r="D220" s="2"/>
      <c r="E220" s="2"/>
    </row>
    <row r="221" ht="15.75" customHeight="1">
      <c r="A221" s="2"/>
      <c r="B221" s="2"/>
      <c r="C221" s="2"/>
      <c r="D221" s="2"/>
      <c r="E221" s="2"/>
    </row>
    <row r="222" ht="15.75" customHeight="1">
      <c r="A222" s="2"/>
      <c r="B222" s="2"/>
      <c r="C222" s="2"/>
      <c r="D222" s="2"/>
      <c r="E222" s="2"/>
    </row>
    <row r="223" ht="15.75" customHeight="1">
      <c r="A223" s="2"/>
      <c r="B223" s="2"/>
      <c r="C223" s="2"/>
      <c r="D223" s="2"/>
      <c r="E223" s="2"/>
    </row>
    <row r="224" ht="15.75" customHeight="1">
      <c r="A224" s="2"/>
      <c r="B224" s="2"/>
      <c r="C224" s="2"/>
      <c r="D224" s="2"/>
      <c r="E224" s="2"/>
    </row>
    <row r="225" ht="15.75" customHeight="1">
      <c r="A225" s="2"/>
      <c r="B225" s="2"/>
      <c r="C225" s="2"/>
      <c r="D225" s="2"/>
      <c r="E225" s="2"/>
    </row>
    <row r="226" ht="15.75" customHeight="1">
      <c r="A226" s="2"/>
      <c r="B226" s="2"/>
      <c r="C226" s="2"/>
      <c r="D226" s="2"/>
      <c r="E226" s="2"/>
    </row>
    <row r="227" ht="15.75" customHeight="1">
      <c r="A227" s="2"/>
      <c r="B227" s="2"/>
      <c r="C227" s="2"/>
      <c r="D227" s="2"/>
      <c r="E227" s="2"/>
    </row>
    <row r="228" ht="15.75" customHeight="1">
      <c r="A228" s="2"/>
      <c r="B228" s="2"/>
      <c r="C228" s="2"/>
      <c r="D228" s="2"/>
      <c r="E228" s="2"/>
    </row>
    <row r="229" ht="15.75" customHeight="1">
      <c r="A229" s="2"/>
      <c r="B229" s="2"/>
      <c r="C229" s="2"/>
      <c r="D229" s="2"/>
      <c r="E229" s="2"/>
    </row>
    <row r="230" ht="15.75" customHeight="1">
      <c r="A230" s="2"/>
      <c r="B230" s="2"/>
      <c r="C230" s="2"/>
      <c r="D230" s="2"/>
      <c r="E230" s="2"/>
    </row>
    <row r="231" ht="15.75" customHeight="1">
      <c r="A231" s="2"/>
      <c r="B231" s="2"/>
      <c r="C231" s="2"/>
      <c r="D231" s="2"/>
      <c r="E231" s="2"/>
    </row>
    <row r="232" ht="15.75" customHeight="1">
      <c r="A232" s="2"/>
      <c r="B232" s="2"/>
      <c r="C232" s="2"/>
      <c r="D232" s="2"/>
      <c r="E232" s="2"/>
    </row>
    <row r="233" ht="15.75" customHeight="1">
      <c r="A233" s="2"/>
      <c r="B233" s="2"/>
      <c r="C233" s="2"/>
      <c r="D233" s="2"/>
      <c r="E233" s="2"/>
    </row>
    <row r="234" ht="15.75" customHeight="1">
      <c r="A234" s="2"/>
      <c r="B234" s="2"/>
      <c r="C234" s="2"/>
      <c r="D234" s="2"/>
      <c r="E234" s="2"/>
    </row>
    <row r="235" ht="15.75" customHeight="1">
      <c r="A235" s="2"/>
      <c r="B235" s="2"/>
      <c r="C235" s="2"/>
      <c r="D235" s="2"/>
      <c r="E235" s="2"/>
    </row>
    <row r="236" ht="15.75" customHeight="1">
      <c r="A236" s="2"/>
      <c r="B236" s="2"/>
      <c r="C236" s="2"/>
      <c r="D236" s="2"/>
      <c r="E236" s="2"/>
    </row>
    <row r="237" ht="15.75" customHeight="1">
      <c r="A237" s="2"/>
      <c r="B237" s="2"/>
      <c r="C237" s="2"/>
      <c r="D237" s="2"/>
      <c r="E237" s="2"/>
    </row>
    <row r="238" ht="15.75" customHeight="1">
      <c r="A238" s="2"/>
      <c r="B238" s="2"/>
      <c r="C238" s="2"/>
      <c r="D238" s="2"/>
      <c r="E238" s="2"/>
    </row>
    <row r="239" ht="15.75" customHeight="1">
      <c r="A239" s="2"/>
      <c r="B239" s="2"/>
      <c r="C239" s="2"/>
      <c r="D239" s="2"/>
      <c r="E239" s="2"/>
    </row>
    <row r="240" ht="15.75" customHeight="1">
      <c r="A240" s="2"/>
      <c r="B240" s="2"/>
      <c r="C240" s="2"/>
      <c r="D240" s="2"/>
      <c r="E240" s="2"/>
    </row>
    <row r="241" ht="15.75" customHeight="1">
      <c r="A241" s="2"/>
      <c r="B241" s="2"/>
      <c r="C241" s="2"/>
      <c r="D241" s="2"/>
      <c r="E241" s="2"/>
    </row>
    <row r="242" ht="15.75" customHeight="1">
      <c r="A242" s="2"/>
      <c r="B242" s="2"/>
      <c r="C242" s="2"/>
      <c r="D242" s="2"/>
      <c r="E242" s="2"/>
    </row>
    <row r="243" ht="15.75" customHeight="1">
      <c r="A243" s="2"/>
      <c r="B243" s="2"/>
      <c r="C243" s="2"/>
      <c r="D243" s="2"/>
      <c r="E243" s="2"/>
    </row>
    <row r="244" ht="15.75" customHeight="1">
      <c r="A244" s="2"/>
      <c r="B244" s="2"/>
      <c r="C244" s="2"/>
      <c r="D244" s="2"/>
      <c r="E244" s="2"/>
    </row>
    <row r="245" ht="15.75" customHeight="1">
      <c r="A245" s="2"/>
      <c r="B245" s="2"/>
      <c r="C245" s="2"/>
      <c r="D245" s="2"/>
      <c r="E245" s="2"/>
    </row>
    <row r="246" ht="15.75" customHeight="1">
      <c r="A246" s="2"/>
      <c r="B246" s="2"/>
      <c r="C246" s="2"/>
      <c r="D246" s="2"/>
      <c r="E246" s="2"/>
    </row>
    <row r="247" ht="15.75" customHeight="1">
      <c r="A247" s="2"/>
      <c r="B247" s="2"/>
      <c r="C247" s="2"/>
      <c r="D247" s="2"/>
      <c r="E247" s="2"/>
    </row>
    <row r="248" ht="15.75" customHeight="1">
      <c r="A248" s="2"/>
      <c r="B248" s="2"/>
      <c r="C248" s="2"/>
      <c r="D248" s="2"/>
      <c r="E248" s="2"/>
    </row>
    <row r="249" ht="15.75" customHeight="1">
      <c r="A249" s="2"/>
      <c r="B249" s="2"/>
      <c r="C249" s="2"/>
      <c r="D249" s="2"/>
      <c r="E249" s="2"/>
    </row>
    <row r="250" ht="15.75" customHeight="1">
      <c r="A250" s="2"/>
      <c r="B250" s="2"/>
      <c r="C250" s="2"/>
      <c r="D250" s="2"/>
      <c r="E250" s="2"/>
    </row>
    <row r="251" ht="15.75" customHeight="1">
      <c r="A251" s="2"/>
      <c r="B251" s="2"/>
      <c r="C251" s="2"/>
      <c r="D251" s="2"/>
      <c r="E251" s="2"/>
    </row>
    <row r="252" ht="15.75" customHeight="1">
      <c r="A252" s="2"/>
      <c r="B252" s="2"/>
      <c r="C252" s="2"/>
      <c r="D252" s="2"/>
      <c r="E252" s="2"/>
    </row>
    <row r="253" ht="15.75" customHeight="1">
      <c r="A253" s="2"/>
      <c r="B253" s="2"/>
      <c r="C253" s="2"/>
      <c r="D253" s="2"/>
      <c r="E253" s="2"/>
    </row>
    <row r="254" ht="15.75" customHeight="1">
      <c r="A254" s="2"/>
      <c r="B254" s="2"/>
      <c r="C254" s="2"/>
      <c r="D254" s="2"/>
      <c r="E254" s="2"/>
    </row>
    <row r="255" ht="15.75" customHeight="1">
      <c r="A255" s="2"/>
      <c r="B255" s="2"/>
      <c r="C255" s="2"/>
      <c r="D255" s="2"/>
      <c r="E255" s="2"/>
    </row>
    <row r="256" ht="15.75" customHeight="1">
      <c r="A256" s="2"/>
      <c r="B256" s="2"/>
      <c r="C256" s="2"/>
      <c r="D256" s="2"/>
      <c r="E256" s="2"/>
    </row>
    <row r="257" ht="15.75" customHeight="1">
      <c r="A257" s="2"/>
      <c r="B257" s="2"/>
      <c r="C257" s="2"/>
      <c r="D257" s="2"/>
      <c r="E257" s="2"/>
    </row>
    <row r="258" ht="15.75" customHeight="1">
      <c r="A258" s="2"/>
      <c r="B258" s="2"/>
      <c r="C258" s="2"/>
      <c r="D258" s="2"/>
      <c r="E258" s="2"/>
    </row>
    <row r="259" ht="15.75" customHeight="1">
      <c r="A259" s="2"/>
      <c r="B259" s="2"/>
      <c r="C259" s="2"/>
      <c r="D259" s="2"/>
      <c r="E259" s="2"/>
    </row>
    <row r="260" ht="15.75" customHeight="1">
      <c r="A260" s="2"/>
      <c r="B260" s="2"/>
      <c r="C260" s="2"/>
      <c r="D260" s="2"/>
      <c r="E260" s="2"/>
    </row>
    <row r="261" ht="15.75" customHeight="1">
      <c r="A261" s="2"/>
      <c r="B261" s="2"/>
      <c r="C261" s="2"/>
      <c r="D261" s="2"/>
      <c r="E261" s="2"/>
    </row>
    <row r="262" ht="15.75" customHeight="1">
      <c r="A262" s="2"/>
      <c r="B262" s="2"/>
      <c r="C262" s="2"/>
      <c r="D262" s="2"/>
      <c r="E262" s="2"/>
    </row>
    <row r="263" ht="15.75" customHeight="1">
      <c r="A263" s="2"/>
      <c r="B263" s="2"/>
      <c r="C263" s="2"/>
      <c r="D263" s="2"/>
      <c r="E263" s="2"/>
    </row>
    <row r="264" ht="15.75" customHeight="1">
      <c r="A264" s="2"/>
      <c r="B264" s="2"/>
      <c r="C264" s="2"/>
      <c r="D264" s="2"/>
      <c r="E264" s="2"/>
    </row>
    <row r="265" ht="15.75" customHeight="1">
      <c r="A265" s="2"/>
      <c r="B265" s="2"/>
      <c r="C265" s="2"/>
      <c r="D265" s="2"/>
      <c r="E265" s="2"/>
    </row>
    <row r="266" ht="15.75" customHeight="1">
      <c r="A266" s="2"/>
      <c r="B266" s="2"/>
      <c r="C266" s="2"/>
      <c r="D266" s="2"/>
      <c r="E266" s="2"/>
    </row>
    <row r="267" ht="15.75" customHeight="1">
      <c r="A267" s="2"/>
      <c r="B267" s="2"/>
      <c r="C267" s="2"/>
      <c r="D267" s="2"/>
      <c r="E267" s="2"/>
    </row>
    <row r="268" ht="15.75" customHeight="1">
      <c r="A268" s="2"/>
      <c r="B268" s="2"/>
      <c r="C268" s="2"/>
      <c r="D268" s="2"/>
      <c r="E268" s="2"/>
    </row>
    <row r="269" ht="15.75" customHeight="1">
      <c r="A269" s="2"/>
      <c r="B269" s="2"/>
      <c r="C269" s="2"/>
      <c r="D269" s="2"/>
      <c r="E269" s="2"/>
    </row>
    <row r="270" ht="15.75" customHeight="1">
      <c r="A270" s="2"/>
      <c r="B270" s="2"/>
      <c r="C270" s="2"/>
      <c r="D270" s="2"/>
      <c r="E270" s="2"/>
    </row>
    <row r="271" ht="15.75" customHeight="1">
      <c r="A271" s="2"/>
      <c r="B271" s="2"/>
      <c r="C271" s="2"/>
      <c r="D271" s="2"/>
      <c r="E271" s="2"/>
    </row>
    <row r="272" ht="15.75" customHeight="1">
      <c r="A272" s="2"/>
      <c r="B272" s="2"/>
      <c r="C272" s="2"/>
      <c r="D272" s="2"/>
      <c r="E272" s="2"/>
    </row>
    <row r="273" ht="15.75" customHeight="1">
      <c r="A273" s="2"/>
      <c r="B273" s="2"/>
      <c r="C273" s="2"/>
      <c r="D273" s="2"/>
      <c r="E273" s="2"/>
    </row>
    <row r="274" ht="15.75" customHeight="1">
      <c r="A274" s="2"/>
      <c r="B274" s="2"/>
      <c r="C274" s="2"/>
      <c r="D274" s="2"/>
      <c r="E274" s="2"/>
    </row>
    <row r="275" ht="15.75" customHeight="1">
      <c r="A275" s="2"/>
      <c r="B275" s="2"/>
      <c r="C275" s="2"/>
      <c r="D275" s="2"/>
      <c r="E275" s="2"/>
    </row>
    <row r="276" ht="15.75" customHeight="1">
      <c r="A276" s="2"/>
      <c r="B276" s="2"/>
      <c r="C276" s="2"/>
      <c r="D276" s="2"/>
      <c r="E276" s="2"/>
    </row>
    <row r="277" ht="15.75" customHeight="1">
      <c r="A277" s="2"/>
      <c r="B277" s="2"/>
      <c r="C277" s="2"/>
      <c r="D277" s="2"/>
      <c r="E277" s="2"/>
    </row>
    <row r="278" ht="15.75" customHeight="1">
      <c r="A278" s="2"/>
      <c r="B278" s="2"/>
      <c r="C278" s="2"/>
      <c r="D278" s="2"/>
      <c r="E278" s="2"/>
    </row>
    <row r="279" ht="15.75" customHeight="1">
      <c r="A279" s="2"/>
      <c r="B279" s="2"/>
      <c r="C279" s="2"/>
      <c r="D279" s="2"/>
      <c r="E279" s="2"/>
    </row>
    <row r="280" ht="15.75" customHeight="1">
      <c r="A280" s="2"/>
      <c r="B280" s="2"/>
      <c r="C280" s="2"/>
      <c r="D280" s="2"/>
      <c r="E280" s="2"/>
    </row>
    <row r="281" ht="15.75" customHeight="1">
      <c r="A281" s="2"/>
      <c r="B281" s="2"/>
      <c r="C281" s="2"/>
      <c r="D281" s="2"/>
      <c r="E281" s="2"/>
    </row>
    <row r="282" ht="15.75" customHeight="1">
      <c r="A282" s="2"/>
      <c r="B282" s="2"/>
      <c r="C282" s="2"/>
      <c r="D282" s="2"/>
      <c r="E282" s="2"/>
    </row>
    <row r="283" ht="15.75" customHeight="1">
      <c r="A283" s="2"/>
      <c r="B283" s="2"/>
      <c r="C283" s="2"/>
      <c r="D283" s="2"/>
      <c r="E283" s="2"/>
    </row>
    <row r="284" ht="15.75" customHeight="1">
      <c r="A284" s="2"/>
      <c r="B284" s="2"/>
      <c r="C284" s="2"/>
      <c r="D284" s="2"/>
      <c r="E284" s="2"/>
    </row>
    <row r="285" ht="15.75" customHeight="1">
      <c r="A285" s="2"/>
      <c r="B285" s="2"/>
      <c r="C285" s="2"/>
      <c r="D285" s="2"/>
      <c r="E285" s="2"/>
    </row>
    <row r="286" ht="15.75" customHeight="1">
      <c r="A286" s="2"/>
      <c r="B286" s="2"/>
      <c r="C286" s="2"/>
      <c r="D286" s="2"/>
      <c r="E286" s="2"/>
    </row>
    <row r="287" ht="15.75" customHeight="1">
      <c r="A287" s="2"/>
      <c r="B287" s="2"/>
      <c r="C287" s="2"/>
      <c r="D287" s="2"/>
      <c r="E287" s="2"/>
    </row>
    <row r="288" ht="15.75" customHeight="1">
      <c r="A288" s="2"/>
      <c r="B288" s="2"/>
      <c r="C288" s="2"/>
      <c r="D288" s="2"/>
      <c r="E288" s="2"/>
    </row>
    <row r="289" ht="15.75" customHeight="1">
      <c r="A289" s="2"/>
      <c r="B289" s="2"/>
      <c r="C289" s="2"/>
      <c r="D289" s="2"/>
      <c r="E289" s="2"/>
    </row>
    <row r="290" ht="15.75" customHeight="1">
      <c r="A290" s="2"/>
      <c r="B290" s="2"/>
      <c r="C290" s="2"/>
      <c r="D290" s="2"/>
      <c r="E290" s="2"/>
    </row>
    <row r="291" ht="15.75" customHeight="1">
      <c r="A291" s="2"/>
      <c r="B291" s="2"/>
      <c r="C291" s="2"/>
      <c r="D291" s="2"/>
      <c r="E291" s="2"/>
    </row>
    <row r="292" ht="15.75" customHeight="1">
      <c r="A292" s="2"/>
      <c r="B292" s="2"/>
      <c r="C292" s="2"/>
      <c r="D292" s="2"/>
      <c r="E292" s="2"/>
    </row>
    <row r="293" ht="15.75" customHeight="1">
      <c r="A293" s="2"/>
      <c r="B293" s="2"/>
      <c r="C293" s="2"/>
      <c r="D293" s="2"/>
      <c r="E293" s="2"/>
    </row>
    <row r="294" ht="15.75" customHeight="1">
      <c r="A294" s="2"/>
      <c r="B294" s="2"/>
      <c r="C294" s="2"/>
      <c r="D294" s="2"/>
      <c r="E294" s="2"/>
    </row>
    <row r="295" ht="15.75" customHeight="1">
      <c r="A295" s="2"/>
      <c r="B295" s="2"/>
      <c r="C295" s="2"/>
      <c r="D295" s="2"/>
      <c r="E295" s="2"/>
    </row>
    <row r="296" ht="15.75" customHeight="1">
      <c r="A296" s="2"/>
      <c r="B296" s="2"/>
      <c r="C296" s="2"/>
      <c r="D296" s="2"/>
      <c r="E296" s="2"/>
    </row>
    <row r="297" ht="15.75" customHeight="1">
      <c r="A297" s="2"/>
      <c r="B297" s="2"/>
      <c r="C297" s="2"/>
      <c r="D297" s="2"/>
      <c r="E297" s="2"/>
    </row>
    <row r="298" ht="15.75" customHeight="1">
      <c r="A298" s="2"/>
      <c r="B298" s="2"/>
      <c r="C298" s="2"/>
      <c r="D298" s="2"/>
      <c r="E298" s="2"/>
    </row>
    <row r="299" ht="15.75" customHeight="1">
      <c r="A299" s="2"/>
      <c r="B299" s="2"/>
      <c r="C299" s="2"/>
      <c r="D299" s="2"/>
      <c r="E299" s="2"/>
    </row>
    <row r="300" ht="15.75" customHeight="1">
      <c r="A300" s="2"/>
      <c r="B300" s="2"/>
      <c r="C300" s="2"/>
      <c r="D300" s="2"/>
      <c r="E300" s="2"/>
    </row>
    <row r="301" ht="15.75" customHeight="1">
      <c r="A301" s="2"/>
      <c r="B301" s="2"/>
      <c r="C301" s="2"/>
      <c r="D301" s="2"/>
      <c r="E301" s="2"/>
    </row>
    <row r="302" ht="15.75" customHeight="1">
      <c r="A302" s="2"/>
      <c r="B302" s="2"/>
      <c r="C302" s="2"/>
      <c r="D302" s="2"/>
      <c r="E302" s="2"/>
    </row>
    <row r="303" ht="15.75" customHeight="1">
      <c r="A303" s="2"/>
      <c r="B303" s="2"/>
      <c r="C303" s="2"/>
      <c r="D303" s="2"/>
      <c r="E303" s="2"/>
    </row>
    <row r="304" ht="15.75" customHeight="1">
      <c r="A304" s="2"/>
      <c r="B304" s="2"/>
      <c r="C304" s="2"/>
      <c r="D304" s="2"/>
      <c r="E304" s="2"/>
    </row>
    <row r="305" ht="15.75" customHeight="1">
      <c r="A305" s="2"/>
      <c r="B305" s="2"/>
      <c r="C305" s="2"/>
      <c r="D305" s="2"/>
      <c r="E305" s="2"/>
    </row>
    <row r="306" ht="15.75" customHeight="1">
      <c r="A306" s="2"/>
      <c r="B306" s="2"/>
      <c r="C306" s="2"/>
      <c r="D306" s="2"/>
      <c r="E306" s="2"/>
    </row>
    <row r="307" ht="15.75" customHeight="1">
      <c r="A307" s="2"/>
      <c r="B307" s="2"/>
      <c r="C307" s="2"/>
      <c r="D307" s="2"/>
      <c r="E307" s="2"/>
    </row>
    <row r="308" ht="15.75" customHeight="1">
      <c r="A308" s="2"/>
      <c r="B308" s="2"/>
      <c r="C308" s="2"/>
      <c r="D308" s="2"/>
      <c r="E308" s="2"/>
    </row>
    <row r="309" ht="15.75" customHeight="1">
      <c r="A309" s="2"/>
      <c r="B309" s="2"/>
      <c r="C309" s="2"/>
      <c r="D309" s="2"/>
      <c r="E309" s="2"/>
    </row>
    <row r="310" ht="15.75" customHeight="1">
      <c r="A310" s="2"/>
      <c r="B310" s="2"/>
      <c r="C310" s="2"/>
      <c r="D310" s="2"/>
      <c r="E310" s="2"/>
    </row>
    <row r="311" ht="15.75" customHeight="1">
      <c r="A311" s="2"/>
      <c r="B311" s="2"/>
      <c r="C311" s="2"/>
      <c r="D311" s="2"/>
      <c r="E311" s="2"/>
    </row>
    <row r="312" ht="15.75" customHeight="1">
      <c r="A312" s="2"/>
      <c r="B312" s="2"/>
      <c r="C312" s="2"/>
      <c r="D312" s="2"/>
      <c r="E312" s="2"/>
    </row>
    <row r="313" ht="15.75" customHeight="1">
      <c r="A313" s="2"/>
      <c r="B313" s="2"/>
      <c r="C313" s="2"/>
      <c r="D313" s="2"/>
      <c r="E313" s="2"/>
    </row>
    <row r="314" ht="15.75" customHeight="1">
      <c r="A314" s="2"/>
      <c r="B314" s="2"/>
      <c r="C314" s="2"/>
      <c r="D314" s="2"/>
      <c r="E314" s="2"/>
    </row>
    <row r="315" ht="15.75" customHeight="1">
      <c r="A315" s="2"/>
      <c r="B315" s="2"/>
      <c r="C315" s="2"/>
      <c r="D315" s="2"/>
      <c r="E315" s="2"/>
    </row>
    <row r="316" ht="15.75" customHeight="1">
      <c r="A316" s="2"/>
      <c r="B316" s="2"/>
      <c r="C316" s="2"/>
      <c r="D316" s="2"/>
      <c r="E316" s="2"/>
    </row>
    <row r="317" ht="15.75" customHeight="1">
      <c r="A317" s="2"/>
      <c r="B317" s="2"/>
      <c r="C317" s="2"/>
      <c r="D317" s="2"/>
      <c r="E317" s="2"/>
    </row>
    <row r="318" ht="15.75" customHeight="1">
      <c r="A318" s="2"/>
      <c r="B318" s="2"/>
      <c r="C318" s="2"/>
      <c r="D318" s="2"/>
      <c r="E318" s="2"/>
    </row>
    <row r="319" ht="15.75" customHeight="1">
      <c r="A319" s="2"/>
      <c r="B319" s="2"/>
      <c r="C319" s="2"/>
      <c r="D319" s="2"/>
      <c r="E319" s="2"/>
    </row>
    <row r="320" ht="15.75" customHeight="1">
      <c r="A320" s="2"/>
      <c r="B320" s="2"/>
      <c r="C320" s="2"/>
      <c r="D320" s="2"/>
      <c r="E320" s="2"/>
    </row>
    <row r="321" ht="15.75" customHeight="1">
      <c r="A321" s="2"/>
      <c r="B321" s="2"/>
      <c r="C321" s="2"/>
      <c r="D321" s="2"/>
      <c r="E321" s="2"/>
    </row>
    <row r="322" ht="15.75" customHeight="1">
      <c r="A322" s="2"/>
      <c r="B322" s="2"/>
      <c r="C322" s="2"/>
      <c r="D322" s="2"/>
      <c r="E322" s="2"/>
    </row>
    <row r="323" ht="15.75" customHeight="1">
      <c r="A323" s="2"/>
      <c r="B323" s="2"/>
      <c r="C323" s="2"/>
      <c r="D323" s="2"/>
      <c r="E323" s="2"/>
    </row>
    <row r="324" ht="15.75" customHeight="1">
      <c r="A324" s="2"/>
      <c r="B324" s="2"/>
      <c r="C324" s="2"/>
      <c r="D324" s="2"/>
      <c r="E324" s="2"/>
    </row>
    <row r="325" ht="15.75" customHeight="1">
      <c r="A325" s="2"/>
      <c r="B325" s="2"/>
      <c r="C325" s="2"/>
      <c r="D325" s="2"/>
      <c r="E325" s="2"/>
    </row>
    <row r="326" ht="15.75" customHeight="1">
      <c r="A326" s="2"/>
      <c r="B326" s="2"/>
      <c r="C326" s="2"/>
      <c r="D326" s="2"/>
      <c r="E326" s="2"/>
    </row>
    <row r="327" ht="15.75" customHeight="1">
      <c r="A327" s="2"/>
      <c r="B327" s="2"/>
      <c r="C327" s="2"/>
      <c r="D327" s="2"/>
      <c r="E327" s="2"/>
    </row>
    <row r="328" ht="15.75" customHeight="1">
      <c r="A328" s="2"/>
      <c r="B328" s="2"/>
      <c r="C328" s="2"/>
      <c r="D328" s="2"/>
      <c r="E328" s="2"/>
    </row>
    <row r="329" ht="15.75" customHeight="1">
      <c r="A329" s="2"/>
      <c r="B329" s="2"/>
      <c r="C329" s="2"/>
      <c r="D329" s="2"/>
      <c r="E329" s="2"/>
    </row>
    <row r="330" ht="15.75" customHeight="1">
      <c r="A330" s="2"/>
      <c r="B330" s="2"/>
      <c r="C330" s="2"/>
      <c r="D330" s="2"/>
      <c r="E330" s="2"/>
    </row>
    <row r="331" ht="15.75" customHeight="1">
      <c r="A331" s="2"/>
      <c r="B331" s="2"/>
      <c r="C331" s="2"/>
      <c r="D331" s="2"/>
      <c r="E331" s="2"/>
    </row>
    <row r="332" ht="15.75" customHeight="1">
      <c r="A332" s="2"/>
      <c r="B332" s="2"/>
      <c r="C332" s="2"/>
      <c r="D332" s="2"/>
      <c r="E332" s="2"/>
    </row>
    <row r="333" ht="15.75" customHeight="1">
      <c r="A333" s="2"/>
      <c r="B333" s="2"/>
      <c r="C333" s="2"/>
      <c r="D333" s="2"/>
      <c r="E333" s="2"/>
    </row>
    <row r="334" ht="15.75" customHeight="1">
      <c r="A334" s="2"/>
      <c r="B334" s="2"/>
      <c r="C334" s="2"/>
      <c r="D334" s="2"/>
      <c r="E334" s="2"/>
    </row>
    <row r="335" ht="15.75" customHeight="1">
      <c r="A335" s="2"/>
      <c r="B335" s="2"/>
      <c r="C335" s="2"/>
      <c r="D335" s="2"/>
      <c r="E335" s="2"/>
    </row>
    <row r="336" ht="15.75" customHeight="1">
      <c r="A336" s="2"/>
      <c r="B336" s="2"/>
      <c r="C336" s="2"/>
      <c r="D336" s="2"/>
      <c r="E336" s="2"/>
    </row>
    <row r="337" ht="15.75" customHeight="1">
      <c r="A337" s="2"/>
      <c r="B337" s="2"/>
      <c r="C337" s="2"/>
      <c r="D337" s="2"/>
      <c r="E337" s="2"/>
    </row>
    <row r="338" ht="15.75" customHeight="1">
      <c r="A338" s="2"/>
      <c r="B338" s="2"/>
      <c r="C338" s="2"/>
      <c r="D338" s="2"/>
      <c r="E338" s="2"/>
    </row>
    <row r="339" ht="15.75" customHeight="1">
      <c r="A339" s="2"/>
      <c r="B339" s="2"/>
      <c r="C339" s="2"/>
      <c r="D339" s="2"/>
      <c r="E339" s="2"/>
    </row>
    <row r="340" ht="15.75" customHeight="1">
      <c r="A340" s="2"/>
      <c r="B340" s="2"/>
      <c r="C340" s="2"/>
      <c r="D340" s="2"/>
      <c r="E340" s="2"/>
    </row>
    <row r="341" ht="15.75" customHeight="1">
      <c r="A341" s="2"/>
      <c r="B341" s="2"/>
      <c r="C341" s="2"/>
      <c r="D341" s="2"/>
      <c r="E341" s="2"/>
    </row>
    <row r="342" ht="15.75" customHeight="1">
      <c r="A342" s="2"/>
      <c r="B342" s="2"/>
      <c r="C342" s="2"/>
      <c r="D342" s="2"/>
      <c r="E342" s="2"/>
    </row>
    <row r="343" ht="15.75" customHeight="1">
      <c r="A343" s="2"/>
      <c r="B343" s="2"/>
      <c r="C343" s="2"/>
      <c r="D343" s="2"/>
      <c r="E343" s="2"/>
    </row>
    <row r="344" ht="15.75" customHeight="1">
      <c r="A344" s="2"/>
      <c r="B344" s="2"/>
      <c r="C344" s="2"/>
      <c r="D344" s="2"/>
      <c r="E344" s="2"/>
    </row>
    <row r="345" ht="15.75" customHeight="1">
      <c r="A345" s="2"/>
      <c r="B345" s="2"/>
      <c r="C345" s="2"/>
      <c r="D345" s="2"/>
      <c r="E345" s="2"/>
    </row>
    <row r="346" ht="15.75" customHeight="1">
      <c r="A346" s="2"/>
      <c r="B346" s="2"/>
      <c r="C346" s="2"/>
      <c r="D346" s="2"/>
      <c r="E346" s="2"/>
    </row>
    <row r="347" ht="15.75" customHeight="1">
      <c r="A347" s="2"/>
      <c r="B347" s="2"/>
      <c r="C347" s="2"/>
      <c r="D347" s="2"/>
      <c r="E347" s="2"/>
    </row>
    <row r="348" ht="15.75" customHeight="1">
      <c r="A348" s="2"/>
      <c r="B348" s="2"/>
      <c r="C348" s="2"/>
      <c r="D348" s="2"/>
      <c r="E348" s="2"/>
    </row>
    <row r="349" ht="15.75" customHeight="1">
      <c r="A349" s="2"/>
      <c r="B349" s="2"/>
      <c r="C349" s="2"/>
      <c r="D349" s="2"/>
      <c r="E349" s="2"/>
    </row>
    <row r="350" ht="15.75" customHeight="1">
      <c r="A350" s="2"/>
      <c r="B350" s="2"/>
      <c r="C350" s="2"/>
      <c r="D350" s="2"/>
      <c r="E350" s="2"/>
    </row>
    <row r="351" ht="15.75" customHeight="1">
      <c r="A351" s="2"/>
      <c r="B351" s="2"/>
      <c r="C351" s="2"/>
      <c r="D351" s="2"/>
      <c r="E351" s="2"/>
    </row>
    <row r="352" ht="15.75" customHeight="1">
      <c r="A352" s="2"/>
      <c r="B352" s="2"/>
      <c r="C352" s="2"/>
      <c r="D352" s="2"/>
      <c r="E352" s="2"/>
    </row>
    <row r="353" ht="15.75" customHeight="1">
      <c r="A353" s="2"/>
      <c r="B353" s="2"/>
      <c r="C353" s="2"/>
      <c r="D353" s="2"/>
      <c r="E353" s="2"/>
    </row>
    <row r="354" ht="15.75" customHeight="1">
      <c r="A354" s="2"/>
      <c r="B354" s="2"/>
      <c r="C354" s="2"/>
      <c r="D354" s="2"/>
      <c r="E354" s="2"/>
    </row>
    <row r="355" ht="15.75" customHeight="1">
      <c r="A355" s="2"/>
      <c r="B355" s="2"/>
      <c r="C355" s="2"/>
      <c r="D355" s="2"/>
      <c r="E355" s="2"/>
    </row>
    <row r="356" ht="15.75" customHeight="1">
      <c r="A356" s="2"/>
      <c r="B356" s="2"/>
      <c r="C356" s="2"/>
      <c r="D356" s="2"/>
      <c r="E356" s="2"/>
    </row>
    <row r="357" ht="15.75" customHeight="1">
      <c r="A357" s="2"/>
      <c r="B357" s="2"/>
      <c r="C357" s="2"/>
      <c r="D357" s="2"/>
      <c r="E357" s="2"/>
    </row>
    <row r="358" ht="15.75" customHeight="1">
      <c r="A358" s="2"/>
      <c r="B358" s="2"/>
      <c r="C358" s="2"/>
      <c r="D358" s="2"/>
      <c r="E358" s="2"/>
    </row>
    <row r="359" ht="15.75" customHeight="1">
      <c r="A359" s="2"/>
      <c r="B359" s="2"/>
      <c r="C359" s="2"/>
      <c r="D359" s="2"/>
      <c r="E359" s="2"/>
    </row>
    <row r="360" ht="15.75" customHeight="1">
      <c r="A360" s="2"/>
      <c r="B360" s="2"/>
      <c r="C360" s="2"/>
      <c r="D360" s="2"/>
      <c r="E360" s="2"/>
    </row>
    <row r="361" ht="15.75" customHeight="1">
      <c r="A361" s="2"/>
      <c r="B361" s="2"/>
      <c r="C361" s="2"/>
      <c r="D361" s="2"/>
      <c r="E361" s="2"/>
    </row>
    <row r="362" ht="15.75" customHeight="1">
      <c r="A362" s="2"/>
      <c r="B362" s="2"/>
      <c r="C362" s="2"/>
      <c r="D362" s="2"/>
      <c r="E362" s="2"/>
    </row>
    <row r="363" ht="15.75" customHeight="1">
      <c r="A363" s="2"/>
      <c r="B363" s="2"/>
      <c r="C363" s="2"/>
      <c r="D363" s="2"/>
      <c r="E363" s="2"/>
    </row>
    <row r="364" ht="15.75" customHeight="1">
      <c r="A364" s="2"/>
      <c r="B364" s="2"/>
      <c r="C364" s="2"/>
      <c r="D364" s="2"/>
      <c r="E364" s="2"/>
    </row>
    <row r="365" ht="15.75" customHeight="1">
      <c r="A365" s="2"/>
      <c r="B365" s="2"/>
      <c r="C365" s="2"/>
      <c r="D365" s="2"/>
      <c r="E365" s="2"/>
    </row>
    <row r="366" ht="15.75" customHeight="1">
      <c r="A366" s="2"/>
      <c r="B366" s="2"/>
      <c r="C366" s="2"/>
      <c r="D366" s="2"/>
      <c r="E366" s="2"/>
    </row>
    <row r="367" ht="15.75" customHeight="1">
      <c r="A367" s="2"/>
      <c r="B367" s="2"/>
      <c r="C367" s="2"/>
      <c r="D367" s="2"/>
      <c r="E367" s="2"/>
    </row>
    <row r="368" ht="15.75" customHeight="1">
      <c r="A368" s="2"/>
      <c r="B368" s="2"/>
      <c r="C368" s="2"/>
      <c r="D368" s="2"/>
      <c r="E368" s="2"/>
    </row>
    <row r="369" ht="15.75" customHeight="1">
      <c r="A369" s="2"/>
      <c r="B369" s="2"/>
      <c r="C369" s="2"/>
      <c r="D369" s="2"/>
      <c r="E369" s="2"/>
    </row>
    <row r="370" ht="15.75" customHeight="1">
      <c r="A370" s="2"/>
      <c r="B370" s="2"/>
      <c r="C370" s="2"/>
      <c r="D370" s="2"/>
      <c r="E370" s="2"/>
    </row>
    <row r="371" ht="15.75" customHeight="1">
      <c r="A371" s="2"/>
      <c r="B371" s="2"/>
      <c r="C371" s="2"/>
      <c r="D371" s="2"/>
      <c r="E371" s="2"/>
    </row>
    <row r="372" ht="15.75" customHeight="1">
      <c r="A372" s="2"/>
      <c r="B372" s="2"/>
      <c r="C372" s="2"/>
      <c r="D372" s="2"/>
      <c r="E372" s="2"/>
    </row>
    <row r="373" ht="15.75" customHeight="1">
      <c r="A373" s="2"/>
      <c r="B373" s="2"/>
      <c r="C373" s="2"/>
      <c r="D373" s="2"/>
      <c r="E373" s="2"/>
    </row>
    <row r="374" ht="15.75" customHeight="1">
      <c r="A374" s="2"/>
      <c r="B374" s="2"/>
      <c r="C374" s="2"/>
      <c r="D374" s="2"/>
      <c r="E374" s="2"/>
    </row>
    <row r="375" ht="15.75" customHeight="1">
      <c r="A375" s="2"/>
      <c r="B375" s="2"/>
      <c r="C375" s="2"/>
      <c r="D375" s="2"/>
      <c r="E375" s="2"/>
    </row>
    <row r="376" ht="15.75" customHeight="1">
      <c r="A376" s="2"/>
      <c r="B376" s="2"/>
      <c r="C376" s="2"/>
      <c r="D376" s="2"/>
      <c r="E376" s="2"/>
    </row>
    <row r="377" ht="15.75" customHeight="1">
      <c r="A377" s="2"/>
      <c r="B377" s="2"/>
      <c r="C377" s="2"/>
      <c r="D377" s="2"/>
      <c r="E377" s="2"/>
    </row>
    <row r="378" ht="15.75" customHeight="1">
      <c r="A378" s="2"/>
      <c r="B378" s="2"/>
      <c r="C378" s="2"/>
      <c r="D378" s="2"/>
      <c r="E378" s="2"/>
    </row>
    <row r="379" ht="15.75" customHeight="1">
      <c r="A379" s="2"/>
      <c r="B379" s="2"/>
      <c r="C379" s="2"/>
      <c r="D379" s="2"/>
      <c r="E379" s="2"/>
    </row>
    <row r="380" ht="15.75" customHeight="1">
      <c r="A380" s="2"/>
      <c r="B380" s="2"/>
      <c r="C380" s="2"/>
      <c r="D380" s="2"/>
      <c r="E380" s="2"/>
    </row>
    <row r="381" ht="15.75" customHeight="1">
      <c r="A381" s="2"/>
      <c r="B381" s="2"/>
      <c r="C381" s="2"/>
      <c r="D381" s="2"/>
      <c r="E381" s="2"/>
    </row>
    <row r="382" ht="15.75" customHeight="1">
      <c r="A382" s="2"/>
      <c r="B382" s="2"/>
      <c r="C382" s="2"/>
      <c r="D382" s="2"/>
      <c r="E382" s="2"/>
    </row>
    <row r="383" ht="15.75" customHeight="1">
      <c r="A383" s="2"/>
      <c r="B383" s="2"/>
      <c r="C383" s="2"/>
      <c r="D383" s="2"/>
      <c r="E383" s="2"/>
    </row>
    <row r="384" ht="15.75" customHeight="1">
      <c r="A384" s="2"/>
      <c r="B384" s="2"/>
      <c r="C384" s="2"/>
      <c r="D384" s="2"/>
      <c r="E384" s="2"/>
    </row>
    <row r="385" ht="15.75" customHeight="1">
      <c r="A385" s="2"/>
      <c r="B385" s="2"/>
      <c r="C385" s="2"/>
      <c r="D385" s="2"/>
      <c r="E385" s="2"/>
    </row>
    <row r="386" ht="15.75" customHeight="1">
      <c r="A386" s="2"/>
      <c r="B386" s="2"/>
      <c r="C386" s="2"/>
      <c r="D386" s="2"/>
      <c r="E386" s="2"/>
    </row>
    <row r="387" ht="15.75" customHeight="1">
      <c r="A387" s="2"/>
      <c r="B387" s="2"/>
      <c r="C387" s="2"/>
      <c r="D387" s="2"/>
      <c r="E387" s="2"/>
    </row>
    <row r="388" ht="15.75" customHeight="1">
      <c r="A388" s="2"/>
      <c r="B388" s="2"/>
      <c r="C388" s="2"/>
      <c r="D388" s="2"/>
      <c r="E388" s="2"/>
    </row>
    <row r="389" ht="15.75" customHeight="1">
      <c r="A389" s="2"/>
      <c r="B389" s="2"/>
      <c r="C389" s="2"/>
      <c r="D389" s="2"/>
      <c r="E389" s="2"/>
    </row>
    <row r="390" ht="15.75" customHeight="1">
      <c r="A390" s="2"/>
      <c r="B390" s="2"/>
      <c r="C390" s="2"/>
      <c r="D390" s="2"/>
      <c r="E390" s="2"/>
    </row>
    <row r="391" ht="15.75" customHeight="1">
      <c r="A391" s="2"/>
      <c r="B391" s="2"/>
      <c r="C391" s="2"/>
      <c r="D391" s="2"/>
      <c r="E391" s="2"/>
    </row>
    <row r="392" ht="15.75" customHeight="1">
      <c r="A392" s="2"/>
      <c r="B392" s="2"/>
      <c r="C392" s="2"/>
      <c r="D392" s="2"/>
      <c r="E392" s="2"/>
    </row>
    <row r="393" ht="15.75" customHeight="1">
      <c r="A393" s="2"/>
      <c r="B393" s="2"/>
      <c r="C393" s="2"/>
      <c r="D393" s="2"/>
      <c r="E393" s="2"/>
    </row>
    <row r="394" ht="15.75" customHeight="1">
      <c r="A394" s="2"/>
      <c r="B394" s="2"/>
      <c r="C394" s="2"/>
      <c r="D394" s="2"/>
      <c r="E394" s="2"/>
    </row>
    <row r="395" ht="15.75" customHeight="1">
      <c r="A395" s="2"/>
      <c r="B395" s="2"/>
      <c r="C395" s="2"/>
      <c r="D395" s="2"/>
      <c r="E395" s="2"/>
    </row>
    <row r="396" ht="15.75" customHeight="1">
      <c r="A396" s="2"/>
      <c r="B396" s="2"/>
      <c r="C396" s="2"/>
      <c r="D396" s="2"/>
      <c r="E396" s="2"/>
    </row>
    <row r="397" ht="15.75" customHeight="1">
      <c r="A397" s="2"/>
      <c r="B397" s="2"/>
      <c r="C397" s="2"/>
      <c r="D397" s="2"/>
      <c r="E397" s="2"/>
    </row>
    <row r="398" ht="15.75" customHeight="1">
      <c r="A398" s="2"/>
      <c r="B398" s="2"/>
      <c r="C398" s="2"/>
      <c r="D398" s="2"/>
      <c r="E398" s="2"/>
    </row>
    <row r="399" ht="15.75" customHeight="1">
      <c r="A399" s="2"/>
      <c r="B399" s="2"/>
      <c r="C399" s="2"/>
      <c r="D399" s="2"/>
      <c r="E399" s="2"/>
    </row>
    <row r="400" ht="15.75" customHeight="1">
      <c r="A400" s="2"/>
      <c r="B400" s="2"/>
      <c r="C400" s="2"/>
      <c r="D400" s="2"/>
      <c r="E400" s="2"/>
    </row>
    <row r="401" ht="15.75" customHeight="1">
      <c r="A401" s="2"/>
      <c r="B401" s="2"/>
      <c r="C401" s="2"/>
      <c r="D401" s="2"/>
      <c r="E401" s="2"/>
    </row>
    <row r="402" ht="15.75" customHeight="1">
      <c r="A402" s="2"/>
      <c r="B402" s="2"/>
      <c r="C402" s="2"/>
      <c r="D402" s="2"/>
      <c r="E402" s="2"/>
    </row>
    <row r="403" ht="15.75" customHeight="1">
      <c r="A403" s="2"/>
      <c r="B403" s="2"/>
      <c r="C403" s="2"/>
      <c r="D403" s="2"/>
      <c r="E403" s="2"/>
    </row>
    <row r="404" ht="15.75" customHeight="1">
      <c r="A404" s="2"/>
      <c r="B404" s="2"/>
      <c r="C404" s="2"/>
      <c r="D404" s="2"/>
      <c r="E404" s="2"/>
    </row>
    <row r="405" ht="15.75" customHeight="1">
      <c r="A405" s="2"/>
      <c r="B405" s="2"/>
      <c r="C405" s="2"/>
      <c r="D405" s="2"/>
      <c r="E405" s="2"/>
    </row>
    <row r="406" ht="15.75" customHeight="1">
      <c r="A406" s="2"/>
      <c r="B406" s="2"/>
      <c r="C406" s="2"/>
      <c r="D406" s="2"/>
      <c r="E406" s="2"/>
    </row>
    <row r="407" ht="15.75" customHeight="1">
      <c r="A407" s="2"/>
      <c r="B407" s="2"/>
      <c r="C407" s="2"/>
      <c r="D407" s="2"/>
      <c r="E407" s="2"/>
    </row>
    <row r="408" ht="15.75" customHeight="1">
      <c r="A408" s="2"/>
      <c r="B408" s="2"/>
      <c r="C408" s="2"/>
      <c r="D408" s="2"/>
      <c r="E408" s="2"/>
    </row>
    <row r="409" ht="15.75" customHeight="1">
      <c r="A409" s="2"/>
      <c r="B409" s="2"/>
      <c r="C409" s="2"/>
      <c r="D409" s="2"/>
      <c r="E409" s="2"/>
    </row>
    <row r="410" ht="15.75" customHeight="1">
      <c r="A410" s="2"/>
      <c r="B410" s="2"/>
      <c r="C410" s="2"/>
      <c r="D410" s="2"/>
      <c r="E410" s="2"/>
    </row>
    <row r="411" ht="15.75" customHeight="1">
      <c r="A411" s="2"/>
      <c r="B411" s="2"/>
      <c r="C411" s="2"/>
      <c r="D411" s="2"/>
      <c r="E411" s="2"/>
    </row>
    <row r="412" ht="15.75" customHeight="1">
      <c r="A412" s="2"/>
      <c r="B412" s="2"/>
      <c r="C412" s="2"/>
      <c r="D412" s="2"/>
      <c r="E412" s="2"/>
    </row>
    <row r="413" ht="15.75" customHeight="1">
      <c r="A413" s="2"/>
      <c r="B413" s="2"/>
      <c r="C413" s="2"/>
      <c r="D413" s="2"/>
      <c r="E413" s="2"/>
    </row>
    <row r="414" ht="15.75" customHeight="1">
      <c r="A414" s="2"/>
      <c r="B414" s="2"/>
      <c r="C414" s="2"/>
      <c r="D414" s="2"/>
      <c r="E414" s="2"/>
    </row>
    <row r="415" ht="15.75" customHeight="1">
      <c r="A415" s="2"/>
      <c r="B415" s="2"/>
      <c r="C415" s="2"/>
      <c r="D415" s="2"/>
      <c r="E415" s="2"/>
    </row>
    <row r="416" ht="15.75" customHeight="1">
      <c r="A416" s="2"/>
      <c r="B416" s="2"/>
      <c r="C416" s="2"/>
      <c r="D416" s="2"/>
      <c r="E416" s="2"/>
    </row>
    <row r="417" ht="15.75" customHeight="1">
      <c r="A417" s="2"/>
      <c r="B417" s="2"/>
      <c r="C417" s="2"/>
      <c r="D417" s="2"/>
      <c r="E417" s="2"/>
    </row>
    <row r="418" ht="15.75" customHeight="1">
      <c r="A418" s="2"/>
      <c r="B418" s="2"/>
      <c r="C418" s="2"/>
      <c r="D418" s="2"/>
      <c r="E418" s="2"/>
    </row>
    <row r="419" ht="15.75" customHeight="1">
      <c r="A419" s="2"/>
      <c r="B419" s="2"/>
      <c r="C419" s="2"/>
      <c r="D419" s="2"/>
      <c r="E419" s="2"/>
    </row>
    <row r="420" ht="15.75" customHeight="1">
      <c r="A420" s="2"/>
      <c r="B420" s="2"/>
      <c r="C420" s="2"/>
      <c r="D420" s="2"/>
      <c r="E420" s="2"/>
    </row>
    <row r="421" ht="15.75" customHeight="1">
      <c r="A421" s="2"/>
      <c r="B421" s="2"/>
      <c r="C421" s="2"/>
      <c r="D421" s="2"/>
      <c r="E421" s="2"/>
    </row>
    <row r="422" ht="15.75" customHeight="1">
      <c r="A422" s="2"/>
      <c r="B422" s="2"/>
      <c r="C422" s="2"/>
      <c r="D422" s="2"/>
      <c r="E422" s="2"/>
    </row>
    <row r="423" ht="15.75" customHeight="1">
      <c r="A423" s="2"/>
      <c r="B423" s="2"/>
      <c r="C423" s="2"/>
      <c r="D423" s="2"/>
      <c r="E423" s="2"/>
    </row>
    <row r="424" ht="15.75" customHeight="1">
      <c r="A424" s="2"/>
      <c r="B424" s="2"/>
      <c r="C424" s="2"/>
      <c r="D424" s="2"/>
      <c r="E424" s="2"/>
    </row>
    <row r="425" ht="15.75" customHeight="1">
      <c r="A425" s="2"/>
      <c r="B425" s="2"/>
      <c r="C425" s="2"/>
      <c r="D425" s="2"/>
      <c r="E425" s="2"/>
    </row>
    <row r="426" ht="15.75" customHeight="1">
      <c r="A426" s="2"/>
      <c r="B426" s="2"/>
      <c r="C426" s="2"/>
      <c r="D426" s="2"/>
      <c r="E426" s="2"/>
    </row>
    <row r="427" ht="15.75" customHeight="1">
      <c r="A427" s="2"/>
      <c r="B427" s="2"/>
      <c r="C427" s="2"/>
      <c r="D427" s="2"/>
      <c r="E427" s="2"/>
    </row>
    <row r="428" ht="15.75" customHeight="1">
      <c r="A428" s="2"/>
      <c r="B428" s="2"/>
      <c r="C428" s="2"/>
      <c r="D428" s="2"/>
      <c r="E428" s="2"/>
    </row>
    <row r="429" ht="15.75" customHeight="1">
      <c r="A429" s="2"/>
      <c r="B429" s="2"/>
      <c r="C429" s="2"/>
      <c r="D429" s="2"/>
      <c r="E429" s="2"/>
    </row>
    <row r="430" ht="15.75" customHeight="1">
      <c r="A430" s="2"/>
      <c r="B430" s="2"/>
      <c r="C430" s="2"/>
      <c r="D430" s="2"/>
      <c r="E430" s="2"/>
    </row>
    <row r="431" ht="15.75" customHeight="1">
      <c r="A431" s="2"/>
      <c r="B431" s="2"/>
      <c r="C431" s="2"/>
      <c r="D431" s="2"/>
      <c r="E431" s="2"/>
    </row>
    <row r="432" ht="15.75" customHeight="1">
      <c r="A432" s="2"/>
      <c r="B432" s="2"/>
      <c r="C432" s="2"/>
      <c r="D432" s="2"/>
      <c r="E432" s="2"/>
    </row>
    <row r="433" ht="15.75" customHeight="1">
      <c r="A433" s="2"/>
      <c r="B433" s="2"/>
      <c r="C433" s="2"/>
      <c r="D433" s="2"/>
      <c r="E433" s="2"/>
    </row>
    <row r="434" ht="15.75" customHeight="1">
      <c r="A434" s="2"/>
      <c r="B434" s="2"/>
      <c r="C434" s="2"/>
      <c r="D434" s="2"/>
      <c r="E434" s="2"/>
    </row>
    <row r="435" ht="15.75" customHeight="1">
      <c r="A435" s="2"/>
      <c r="B435" s="2"/>
      <c r="C435" s="2"/>
      <c r="D435" s="2"/>
      <c r="E435" s="2"/>
    </row>
    <row r="436" ht="15.75" customHeight="1">
      <c r="A436" s="2"/>
      <c r="B436" s="2"/>
      <c r="C436" s="2"/>
      <c r="D436" s="2"/>
      <c r="E436" s="2"/>
    </row>
    <row r="437" ht="15.75" customHeight="1">
      <c r="A437" s="2"/>
      <c r="B437" s="2"/>
      <c r="C437" s="2"/>
      <c r="D437" s="2"/>
      <c r="E437" s="2"/>
    </row>
    <row r="438" ht="15.75" customHeight="1">
      <c r="A438" s="2"/>
      <c r="B438" s="2"/>
      <c r="C438" s="2"/>
      <c r="D438" s="2"/>
      <c r="E438" s="2"/>
    </row>
    <row r="439" ht="15.75" customHeight="1">
      <c r="A439" s="2"/>
      <c r="B439" s="2"/>
      <c r="C439" s="2"/>
      <c r="D439" s="2"/>
      <c r="E439" s="2"/>
    </row>
    <row r="440" ht="15.75" customHeight="1">
      <c r="A440" s="2"/>
      <c r="B440" s="2"/>
      <c r="C440" s="2"/>
      <c r="D440" s="2"/>
      <c r="E440" s="2"/>
    </row>
    <row r="441" ht="15.75" customHeight="1">
      <c r="A441" s="2"/>
      <c r="B441" s="2"/>
      <c r="C441" s="2"/>
      <c r="D441" s="2"/>
      <c r="E441" s="2"/>
    </row>
    <row r="442" ht="15.75" customHeight="1">
      <c r="A442" s="2"/>
      <c r="B442" s="2"/>
      <c r="C442" s="2"/>
      <c r="D442" s="2"/>
      <c r="E442" s="2"/>
    </row>
    <row r="443" ht="15.75" customHeight="1">
      <c r="A443" s="2"/>
      <c r="B443" s="2"/>
      <c r="C443" s="2"/>
      <c r="D443" s="2"/>
      <c r="E443" s="2"/>
    </row>
    <row r="444" ht="15.75" customHeight="1">
      <c r="A444" s="2"/>
      <c r="B444" s="2"/>
      <c r="C444" s="2"/>
      <c r="D444" s="2"/>
      <c r="E444" s="2"/>
    </row>
    <row r="445" ht="15.75" customHeight="1">
      <c r="A445" s="2"/>
      <c r="B445" s="2"/>
      <c r="C445" s="2"/>
      <c r="D445" s="2"/>
      <c r="E445" s="2"/>
    </row>
    <row r="446" ht="15.75" customHeight="1">
      <c r="A446" s="2"/>
      <c r="B446" s="2"/>
      <c r="C446" s="2"/>
      <c r="D446" s="2"/>
      <c r="E446" s="2"/>
    </row>
    <row r="447" ht="15.75" customHeight="1">
      <c r="A447" s="2"/>
      <c r="B447" s="2"/>
      <c r="C447" s="2"/>
      <c r="D447" s="2"/>
      <c r="E447" s="2"/>
    </row>
    <row r="448" ht="15.75" customHeight="1">
      <c r="A448" s="2"/>
      <c r="B448" s="2"/>
      <c r="C448" s="2"/>
      <c r="D448" s="2"/>
      <c r="E448" s="2"/>
    </row>
    <row r="449" ht="15.75" customHeight="1">
      <c r="A449" s="2"/>
      <c r="B449" s="2"/>
      <c r="C449" s="2"/>
      <c r="D449" s="2"/>
      <c r="E449" s="2"/>
    </row>
    <row r="450" ht="15.75" customHeight="1">
      <c r="A450" s="2"/>
      <c r="B450" s="2"/>
      <c r="C450" s="2"/>
      <c r="D450" s="2"/>
      <c r="E450" s="2"/>
    </row>
    <row r="451" ht="15.75" customHeight="1">
      <c r="A451" s="2"/>
      <c r="B451" s="2"/>
      <c r="C451" s="2"/>
      <c r="D451" s="2"/>
      <c r="E451" s="2"/>
    </row>
    <row r="452" ht="15.75" customHeight="1">
      <c r="A452" s="2"/>
      <c r="B452" s="2"/>
      <c r="C452" s="2"/>
      <c r="D452" s="2"/>
      <c r="E452" s="2"/>
    </row>
    <row r="453" ht="15.75" customHeight="1">
      <c r="A453" s="2"/>
      <c r="B453" s="2"/>
      <c r="C453" s="2"/>
      <c r="D453" s="2"/>
      <c r="E453" s="2"/>
    </row>
    <row r="454" ht="15.75" customHeight="1">
      <c r="A454" s="2"/>
      <c r="B454" s="2"/>
      <c r="C454" s="2"/>
      <c r="D454" s="2"/>
      <c r="E454" s="2"/>
    </row>
    <row r="455" ht="15.75" customHeight="1">
      <c r="A455" s="2"/>
      <c r="B455" s="2"/>
      <c r="C455" s="2"/>
      <c r="D455" s="2"/>
      <c r="E455" s="2"/>
    </row>
    <row r="456" ht="15.75" customHeight="1">
      <c r="A456" s="2"/>
      <c r="B456" s="2"/>
      <c r="C456" s="2"/>
      <c r="D456" s="2"/>
      <c r="E456" s="2"/>
    </row>
    <row r="457" ht="15.75" customHeight="1">
      <c r="A457" s="2"/>
      <c r="B457" s="2"/>
      <c r="C457" s="2"/>
      <c r="D457" s="2"/>
      <c r="E457" s="2"/>
    </row>
    <row r="458" ht="15.75" customHeight="1">
      <c r="A458" s="2"/>
      <c r="B458" s="2"/>
      <c r="C458" s="2"/>
      <c r="D458" s="2"/>
      <c r="E458" s="2"/>
    </row>
    <row r="459" ht="15.75" customHeight="1">
      <c r="A459" s="2"/>
      <c r="B459" s="2"/>
      <c r="C459" s="2"/>
      <c r="D459" s="2"/>
      <c r="E459" s="2"/>
    </row>
    <row r="460" ht="15.75" customHeight="1">
      <c r="A460" s="2"/>
      <c r="B460" s="2"/>
      <c r="C460" s="2"/>
      <c r="D460" s="2"/>
      <c r="E460" s="2"/>
    </row>
    <row r="461" ht="15.75" customHeight="1">
      <c r="A461" s="2"/>
      <c r="B461" s="2"/>
      <c r="C461" s="2"/>
      <c r="D461" s="2"/>
      <c r="E461" s="2"/>
    </row>
    <row r="462" ht="15.75" customHeight="1">
      <c r="A462" s="2"/>
      <c r="B462" s="2"/>
      <c r="C462" s="2"/>
      <c r="D462" s="2"/>
      <c r="E462" s="2"/>
    </row>
    <row r="463" ht="15.75" customHeight="1">
      <c r="A463" s="2"/>
      <c r="B463" s="2"/>
      <c r="C463" s="2"/>
      <c r="D463" s="2"/>
      <c r="E463" s="2"/>
    </row>
    <row r="464" ht="15.75" customHeight="1">
      <c r="A464" s="2"/>
      <c r="B464" s="2"/>
      <c r="C464" s="2"/>
      <c r="D464" s="2"/>
      <c r="E464" s="2"/>
    </row>
    <row r="465" ht="15.75" customHeight="1">
      <c r="A465" s="2"/>
      <c r="B465" s="2"/>
      <c r="C465" s="2"/>
      <c r="D465" s="2"/>
      <c r="E465" s="2"/>
    </row>
    <row r="466" ht="15.75" customHeight="1">
      <c r="A466" s="2"/>
      <c r="B466" s="2"/>
      <c r="C466" s="2"/>
      <c r="D466" s="2"/>
      <c r="E466" s="2"/>
    </row>
    <row r="467" ht="15.75" customHeight="1">
      <c r="A467" s="2"/>
      <c r="B467" s="2"/>
      <c r="C467" s="2"/>
      <c r="D467" s="2"/>
      <c r="E467" s="2"/>
    </row>
    <row r="468" ht="15.75" customHeight="1">
      <c r="A468" s="2"/>
      <c r="B468" s="2"/>
      <c r="C468" s="2"/>
      <c r="D468" s="2"/>
      <c r="E468" s="2"/>
    </row>
    <row r="469" ht="15.75" customHeight="1">
      <c r="A469" s="2"/>
      <c r="B469" s="2"/>
      <c r="C469" s="2"/>
      <c r="D469" s="2"/>
      <c r="E469" s="2"/>
    </row>
    <row r="470" ht="15.75" customHeight="1">
      <c r="A470" s="2"/>
      <c r="B470" s="2"/>
      <c r="C470" s="2"/>
      <c r="D470" s="2"/>
      <c r="E470" s="2"/>
    </row>
    <row r="471" ht="15.75" customHeight="1">
      <c r="A471" s="2"/>
      <c r="B471" s="2"/>
      <c r="C471" s="2"/>
      <c r="D471" s="2"/>
      <c r="E471" s="2"/>
    </row>
    <row r="472" ht="15.75" customHeight="1">
      <c r="A472" s="2"/>
      <c r="B472" s="2"/>
      <c r="C472" s="2"/>
      <c r="D472" s="2"/>
      <c r="E472" s="2"/>
    </row>
    <row r="473" ht="15.75" customHeight="1">
      <c r="A473" s="2"/>
      <c r="B473" s="2"/>
      <c r="C473" s="2"/>
      <c r="D473" s="2"/>
      <c r="E473" s="2"/>
    </row>
    <row r="474" ht="15.75" customHeight="1">
      <c r="A474" s="2"/>
      <c r="B474" s="2"/>
      <c r="C474" s="2"/>
      <c r="D474" s="2"/>
      <c r="E474" s="2"/>
    </row>
    <row r="475" ht="15.75" customHeight="1">
      <c r="A475" s="2"/>
      <c r="B475" s="2"/>
      <c r="C475" s="2"/>
      <c r="D475" s="2"/>
      <c r="E475" s="2"/>
    </row>
    <row r="476" ht="15.75" customHeight="1">
      <c r="A476" s="2"/>
      <c r="B476" s="2"/>
      <c r="C476" s="2"/>
      <c r="D476" s="2"/>
      <c r="E476" s="2"/>
    </row>
    <row r="477" ht="15.75" customHeight="1">
      <c r="A477" s="2"/>
      <c r="B477" s="2"/>
      <c r="C477" s="2"/>
      <c r="D477" s="2"/>
      <c r="E477" s="2"/>
    </row>
    <row r="478" ht="15.75" customHeight="1">
      <c r="A478" s="2"/>
      <c r="B478" s="2"/>
      <c r="C478" s="2"/>
      <c r="D478" s="2"/>
      <c r="E478" s="2"/>
    </row>
    <row r="479" ht="15.75" customHeight="1">
      <c r="A479" s="2"/>
      <c r="B479" s="2"/>
      <c r="C479" s="2"/>
      <c r="D479" s="2"/>
      <c r="E479" s="2"/>
    </row>
    <row r="480" ht="15.75" customHeight="1">
      <c r="A480" s="2"/>
      <c r="B480" s="2"/>
      <c r="C480" s="2"/>
      <c r="D480" s="2"/>
      <c r="E480" s="2"/>
    </row>
    <row r="481" ht="15.75" customHeight="1">
      <c r="A481" s="2"/>
      <c r="B481" s="2"/>
      <c r="C481" s="2"/>
      <c r="D481" s="2"/>
      <c r="E481" s="2"/>
    </row>
    <row r="482" ht="15.75" customHeight="1">
      <c r="A482" s="2"/>
      <c r="B482" s="2"/>
      <c r="C482" s="2"/>
      <c r="D482" s="2"/>
      <c r="E482" s="2"/>
    </row>
    <row r="483" ht="15.75" customHeight="1">
      <c r="A483" s="2"/>
      <c r="B483" s="2"/>
      <c r="C483" s="2"/>
      <c r="D483" s="2"/>
      <c r="E483" s="2"/>
    </row>
    <row r="484" ht="15.75" customHeight="1">
      <c r="A484" s="2"/>
      <c r="B484" s="2"/>
      <c r="C484" s="2"/>
      <c r="D484" s="2"/>
      <c r="E484" s="2"/>
    </row>
    <row r="485" ht="15.75" customHeight="1">
      <c r="A485" s="2"/>
      <c r="B485" s="2"/>
      <c r="C485" s="2"/>
      <c r="D485" s="2"/>
      <c r="E485" s="2"/>
    </row>
    <row r="486" ht="15.75" customHeight="1">
      <c r="A486" s="2"/>
      <c r="B486" s="2"/>
      <c r="C486" s="2"/>
      <c r="D486" s="2"/>
      <c r="E486" s="2"/>
    </row>
    <row r="487" ht="15.75" customHeight="1">
      <c r="A487" s="2"/>
      <c r="B487" s="2"/>
      <c r="C487" s="2"/>
      <c r="D487" s="2"/>
      <c r="E487" s="2"/>
    </row>
    <row r="488" ht="15.75" customHeight="1">
      <c r="A488" s="2"/>
      <c r="B488" s="2"/>
      <c r="C488" s="2"/>
      <c r="D488" s="2"/>
      <c r="E488" s="2"/>
    </row>
    <row r="489" ht="15.75" customHeight="1">
      <c r="A489" s="2"/>
      <c r="B489" s="2"/>
      <c r="C489" s="2"/>
      <c r="D489" s="2"/>
      <c r="E489" s="2"/>
    </row>
    <row r="490" ht="15.75" customHeight="1">
      <c r="A490" s="2"/>
      <c r="B490" s="2"/>
      <c r="C490" s="2"/>
      <c r="D490" s="2"/>
      <c r="E490" s="2"/>
    </row>
    <row r="491" ht="15.75" customHeight="1">
      <c r="A491" s="2"/>
      <c r="B491" s="2"/>
      <c r="C491" s="2"/>
      <c r="D491" s="2"/>
      <c r="E491" s="2"/>
    </row>
    <row r="492" ht="15.75" customHeight="1">
      <c r="A492" s="2"/>
      <c r="B492" s="2"/>
      <c r="C492" s="2"/>
      <c r="D492" s="2"/>
      <c r="E492" s="2"/>
    </row>
    <row r="493" ht="15.75" customHeight="1">
      <c r="A493" s="2"/>
      <c r="B493" s="2"/>
      <c r="C493" s="2"/>
      <c r="D493" s="2"/>
      <c r="E493" s="2"/>
    </row>
    <row r="494" ht="15.75" customHeight="1">
      <c r="A494" s="2"/>
      <c r="B494" s="2"/>
      <c r="C494" s="2"/>
      <c r="D494" s="2"/>
      <c r="E494" s="2"/>
    </row>
    <row r="495" ht="15.75" customHeight="1">
      <c r="A495" s="2"/>
      <c r="B495" s="2"/>
      <c r="C495" s="2"/>
      <c r="D495" s="2"/>
      <c r="E495" s="2"/>
    </row>
    <row r="496" ht="15.75" customHeight="1">
      <c r="A496" s="2"/>
      <c r="B496" s="2"/>
      <c r="C496" s="2"/>
      <c r="D496" s="2"/>
      <c r="E496" s="2"/>
    </row>
    <row r="497" ht="15.75" customHeight="1">
      <c r="A497" s="2"/>
      <c r="B497" s="2"/>
      <c r="C497" s="2"/>
      <c r="D497" s="2"/>
      <c r="E497" s="2"/>
    </row>
    <row r="498" ht="15.75" customHeight="1">
      <c r="A498" s="2"/>
      <c r="B498" s="2"/>
      <c r="C498" s="2"/>
      <c r="D498" s="2"/>
      <c r="E498" s="2"/>
    </row>
    <row r="499" ht="15.75" customHeight="1">
      <c r="A499" s="2"/>
      <c r="B499" s="2"/>
      <c r="C499" s="2"/>
      <c r="D499" s="2"/>
      <c r="E499" s="2"/>
    </row>
    <row r="500" ht="15.75" customHeight="1">
      <c r="A500" s="2"/>
      <c r="B500" s="2"/>
      <c r="C500" s="2"/>
      <c r="D500" s="2"/>
      <c r="E500" s="2"/>
    </row>
    <row r="501" ht="15.75" customHeight="1">
      <c r="A501" s="2"/>
      <c r="B501" s="2"/>
      <c r="C501" s="2"/>
      <c r="D501" s="2"/>
      <c r="E501" s="2"/>
    </row>
    <row r="502" ht="15.75" customHeight="1">
      <c r="A502" s="2"/>
      <c r="B502" s="2"/>
      <c r="C502" s="2"/>
      <c r="D502" s="2"/>
      <c r="E502" s="2"/>
    </row>
    <row r="503" ht="15.75" customHeight="1">
      <c r="A503" s="2"/>
      <c r="B503" s="2"/>
      <c r="C503" s="2"/>
      <c r="D503" s="2"/>
      <c r="E503" s="2"/>
    </row>
    <row r="504" ht="15.75" customHeight="1">
      <c r="A504" s="2"/>
      <c r="B504" s="2"/>
      <c r="C504" s="2"/>
      <c r="D504" s="2"/>
      <c r="E504" s="2"/>
    </row>
    <row r="505" ht="15.75" customHeight="1">
      <c r="A505" s="2"/>
      <c r="B505" s="2"/>
      <c r="C505" s="2"/>
      <c r="D505" s="2"/>
      <c r="E505" s="2"/>
    </row>
    <row r="506" ht="15.75" customHeight="1">
      <c r="A506" s="2"/>
      <c r="B506" s="2"/>
      <c r="C506" s="2"/>
      <c r="D506" s="2"/>
      <c r="E506" s="2"/>
    </row>
    <row r="507" ht="15.75" customHeight="1">
      <c r="A507" s="2"/>
      <c r="B507" s="2"/>
      <c r="C507" s="2"/>
      <c r="D507" s="2"/>
      <c r="E507" s="2"/>
    </row>
    <row r="508" ht="15.75" customHeight="1">
      <c r="A508" s="2"/>
      <c r="B508" s="2"/>
      <c r="C508" s="2"/>
      <c r="D508" s="2"/>
      <c r="E508" s="2"/>
    </row>
    <row r="509" ht="15.75" customHeight="1">
      <c r="A509" s="2"/>
      <c r="B509" s="2"/>
      <c r="C509" s="2"/>
      <c r="D509" s="2"/>
      <c r="E509" s="2"/>
    </row>
    <row r="510" ht="15.75" customHeight="1">
      <c r="A510" s="2"/>
      <c r="B510" s="2"/>
      <c r="C510" s="2"/>
      <c r="D510" s="2"/>
      <c r="E510" s="2"/>
    </row>
    <row r="511" ht="15.75" customHeight="1">
      <c r="A511" s="2"/>
      <c r="B511" s="2"/>
      <c r="C511" s="2"/>
      <c r="D511" s="2"/>
      <c r="E511" s="2"/>
    </row>
    <row r="512" ht="15.75" customHeight="1">
      <c r="A512" s="2"/>
      <c r="B512" s="2"/>
      <c r="C512" s="2"/>
      <c r="D512" s="2"/>
      <c r="E512" s="2"/>
    </row>
    <row r="513" ht="15.75" customHeight="1">
      <c r="A513" s="2"/>
      <c r="B513" s="2"/>
      <c r="C513" s="2"/>
      <c r="D513" s="2"/>
      <c r="E513" s="2"/>
    </row>
    <row r="514" ht="15.75" customHeight="1">
      <c r="A514" s="2"/>
      <c r="B514" s="2"/>
      <c r="C514" s="2"/>
      <c r="D514" s="2"/>
      <c r="E514" s="2"/>
    </row>
    <row r="515" ht="15.75" customHeight="1">
      <c r="A515" s="2"/>
      <c r="B515" s="2"/>
      <c r="C515" s="2"/>
      <c r="D515" s="2"/>
      <c r="E515" s="2"/>
    </row>
    <row r="516" ht="15.75" customHeight="1">
      <c r="A516" s="2"/>
      <c r="B516" s="2"/>
      <c r="C516" s="2"/>
      <c r="D516" s="2"/>
      <c r="E516" s="2"/>
    </row>
    <row r="517" ht="15.75" customHeight="1">
      <c r="A517" s="2"/>
      <c r="B517" s="2"/>
      <c r="C517" s="2"/>
      <c r="D517" s="2"/>
      <c r="E517" s="2"/>
    </row>
    <row r="518" ht="15.75" customHeight="1">
      <c r="A518" s="2"/>
      <c r="B518" s="2"/>
      <c r="C518" s="2"/>
      <c r="D518" s="2"/>
      <c r="E518" s="2"/>
    </row>
    <row r="519" ht="15.75" customHeight="1">
      <c r="A519" s="2"/>
      <c r="B519" s="2"/>
      <c r="C519" s="2"/>
      <c r="D519" s="2"/>
      <c r="E519" s="2"/>
    </row>
    <row r="520" ht="15.75" customHeight="1">
      <c r="A520" s="2"/>
      <c r="B520" s="2"/>
      <c r="C520" s="2"/>
      <c r="D520" s="2"/>
      <c r="E520" s="2"/>
    </row>
    <row r="521" ht="15.75" customHeight="1">
      <c r="A521" s="2"/>
      <c r="B521" s="2"/>
      <c r="C521" s="2"/>
      <c r="D521" s="2"/>
      <c r="E521" s="2"/>
    </row>
    <row r="522" ht="15.75" customHeight="1">
      <c r="A522" s="2"/>
      <c r="B522" s="2"/>
      <c r="C522" s="2"/>
      <c r="D522" s="2"/>
      <c r="E522" s="2"/>
    </row>
    <row r="523" ht="15.75" customHeight="1">
      <c r="A523" s="2"/>
      <c r="B523" s="2"/>
      <c r="C523" s="2"/>
      <c r="D523" s="2"/>
      <c r="E523" s="2"/>
    </row>
    <row r="524" ht="15.75" customHeight="1">
      <c r="A524" s="2"/>
      <c r="B524" s="2"/>
      <c r="C524" s="2"/>
      <c r="D524" s="2"/>
      <c r="E524" s="2"/>
    </row>
    <row r="525" ht="15.75" customHeight="1">
      <c r="A525" s="2"/>
      <c r="B525" s="2"/>
      <c r="C525" s="2"/>
      <c r="D525" s="2"/>
      <c r="E525" s="2"/>
    </row>
    <row r="526" ht="15.75" customHeight="1">
      <c r="A526" s="2"/>
      <c r="B526" s="2"/>
      <c r="C526" s="2"/>
      <c r="D526" s="2"/>
      <c r="E526" s="2"/>
    </row>
    <row r="527" ht="15.75" customHeight="1">
      <c r="A527" s="2"/>
      <c r="B527" s="2"/>
      <c r="C527" s="2"/>
      <c r="D527" s="2"/>
      <c r="E527" s="2"/>
    </row>
    <row r="528" ht="15.75" customHeight="1">
      <c r="A528" s="2"/>
      <c r="B528" s="2"/>
      <c r="C528" s="2"/>
      <c r="D528" s="2"/>
      <c r="E528" s="2"/>
    </row>
    <row r="529" ht="15.75" customHeight="1">
      <c r="A529" s="2"/>
      <c r="B529" s="2"/>
      <c r="C529" s="2"/>
      <c r="D529" s="2"/>
      <c r="E529" s="2"/>
    </row>
    <row r="530" ht="15.75" customHeight="1">
      <c r="A530" s="2"/>
      <c r="B530" s="2"/>
      <c r="C530" s="2"/>
      <c r="D530" s="2"/>
      <c r="E530" s="2"/>
    </row>
    <row r="531" ht="15.75" customHeight="1">
      <c r="A531" s="2"/>
      <c r="B531" s="2"/>
      <c r="C531" s="2"/>
      <c r="D531" s="2"/>
      <c r="E531" s="2"/>
    </row>
    <row r="532" ht="15.75" customHeight="1">
      <c r="A532" s="2"/>
      <c r="B532" s="2"/>
      <c r="C532" s="2"/>
      <c r="D532" s="2"/>
      <c r="E532" s="2"/>
    </row>
    <row r="533" ht="15.75" customHeight="1">
      <c r="A533" s="2"/>
      <c r="B533" s="2"/>
      <c r="C533" s="2"/>
      <c r="D533" s="2"/>
      <c r="E533" s="2"/>
    </row>
    <row r="534" ht="15.75" customHeight="1">
      <c r="A534" s="2"/>
      <c r="B534" s="2"/>
      <c r="C534" s="2"/>
      <c r="D534" s="2"/>
      <c r="E534" s="2"/>
    </row>
    <row r="535" ht="15.75" customHeight="1">
      <c r="A535" s="2"/>
      <c r="B535" s="2"/>
      <c r="C535" s="2"/>
      <c r="D535" s="2"/>
      <c r="E535" s="2"/>
    </row>
    <row r="536" ht="15.75" customHeight="1">
      <c r="A536" s="2"/>
      <c r="B536" s="2"/>
      <c r="C536" s="2"/>
      <c r="D536" s="2"/>
      <c r="E536" s="2"/>
    </row>
    <row r="537" ht="15.75" customHeight="1">
      <c r="A537" s="2"/>
      <c r="B537" s="2"/>
      <c r="C537" s="2"/>
      <c r="D537" s="2"/>
      <c r="E537" s="2"/>
    </row>
    <row r="538" ht="15.75" customHeight="1">
      <c r="A538" s="2"/>
      <c r="B538" s="2"/>
      <c r="C538" s="2"/>
      <c r="D538" s="2"/>
      <c r="E538" s="2"/>
    </row>
    <row r="539" ht="15.75" customHeight="1">
      <c r="A539" s="2"/>
      <c r="B539" s="2"/>
      <c r="C539" s="2"/>
      <c r="D539" s="2"/>
      <c r="E539" s="2"/>
    </row>
    <row r="540" ht="15.75" customHeight="1">
      <c r="A540" s="2"/>
      <c r="B540" s="2"/>
      <c r="C540" s="2"/>
      <c r="D540" s="2"/>
      <c r="E540" s="2"/>
    </row>
    <row r="541" ht="15.75" customHeight="1">
      <c r="A541" s="2"/>
      <c r="B541" s="2"/>
      <c r="C541" s="2"/>
      <c r="D541" s="2"/>
      <c r="E541" s="2"/>
    </row>
    <row r="542" ht="15.75" customHeight="1">
      <c r="A542" s="2"/>
      <c r="B542" s="2"/>
      <c r="C542" s="2"/>
      <c r="D542" s="2"/>
      <c r="E542" s="2"/>
    </row>
    <row r="543" ht="15.75" customHeight="1">
      <c r="A543" s="2"/>
      <c r="B543" s="2"/>
      <c r="C543" s="2"/>
      <c r="D543" s="2"/>
      <c r="E543" s="2"/>
    </row>
    <row r="544" ht="15.75" customHeight="1">
      <c r="A544" s="2"/>
      <c r="B544" s="2"/>
      <c r="C544" s="2"/>
      <c r="D544" s="2"/>
      <c r="E544" s="2"/>
    </row>
    <row r="545" ht="15.75" customHeight="1">
      <c r="A545" s="2"/>
      <c r="B545" s="2"/>
      <c r="C545" s="2"/>
      <c r="D545" s="2"/>
      <c r="E545" s="2"/>
    </row>
    <row r="546" ht="15.75" customHeight="1">
      <c r="A546" s="2"/>
      <c r="B546" s="2"/>
      <c r="C546" s="2"/>
      <c r="D546" s="2"/>
      <c r="E546" s="2"/>
    </row>
    <row r="547" ht="15.75" customHeight="1">
      <c r="A547" s="2"/>
      <c r="B547" s="2"/>
      <c r="C547" s="2"/>
      <c r="D547" s="2"/>
      <c r="E547" s="2"/>
    </row>
    <row r="548" ht="15.75" customHeight="1">
      <c r="A548" s="2"/>
      <c r="B548" s="2"/>
      <c r="C548" s="2"/>
      <c r="D548" s="2"/>
      <c r="E548" s="2"/>
    </row>
    <row r="549" ht="15.75" customHeight="1">
      <c r="A549" s="2"/>
      <c r="B549" s="2"/>
      <c r="C549" s="2"/>
      <c r="D549" s="2"/>
      <c r="E549" s="2"/>
    </row>
    <row r="550" ht="15.75" customHeight="1">
      <c r="A550" s="2"/>
      <c r="B550" s="2"/>
      <c r="C550" s="2"/>
      <c r="D550" s="2"/>
      <c r="E550" s="2"/>
    </row>
    <row r="551" ht="15.75" customHeight="1">
      <c r="A551" s="2"/>
      <c r="B551" s="2"/>
      <c r="C551" s="2"/>
      <c r="D551" s="2"/>
      <c r="E551" s="2"/>
    </row>
    <row r="552" ht="15.75" customHeight="1">
      <c r="A552" s="2"/>
      <c r="B552" s="2"/>
      <c r="C552" s="2"/>
      <c r="D552" s="2"/>
      <c r="E552" s="2"/>
    </row>
    <row r="553" ht="15.75" customHeight="1">
      <c r="A553" s="2"/>
      <c r="B553" s="2"/>
      <c r="C553" s="2"/>
      <c r="D553" s="2"/>
      <c r="E553" s="2"/>
    </row>
    <row r="554" ht="15.75" customHeight="1">
      <c r="A554" s="2"/>
      <c r="B554" s="2"/>
      <c r="C554" s="2"/>
      <c r="D554" s="2"/>
      <c r="E554" s="2"/>
    </row>
    <row r="555" ht="15.75" customHeight="1">
      <c r="A555" s="2"/>
      <c r="B555" s="2"/>
      <c r="C555" s="2"/>
      <c r="D555" s="2"/>
      <c r="E555" s="2"/>
    </row>
    <row r="556" ht="15.75" customHeight="1">
      <c r="A556" s="2"/>
      <c r="B556" s="2"/>
      <c r="C556" s="2"/>
      <c r="D556" s="2"/>
      <c r="E556" s="2"/>
    </row>
    <row r="557" ht="15.75" customHeight="1">
      <c r="A557" s="2"/>
      <c r="B557" s="2"/>
      <c r="C557" s="2"/>
      <c r="D557" s="2"/>
      <c r="E557" s="2"/>
    </row>
    <row r="558" ht="15.75" customHeight="1">
      <c r="A558" s="2"/>
      <c r="B558" s="2"/>
      <c r="C558" s="2"/>
      <c r="D558" s="2"/>
      <c r="E558" s="2"/>
    </row>
    <row r="559" ht="15.75" customHeight="1">
      <c r="A559" s="2"/>
      <c r="B559" s="2"/>
      <c r="C559" s="2"/>
      <c r="D559" s="2"/>
      <c r="E559" s="2"/>
    </row>
    <row r="560" ht="15.75" customHeight="1">
      <c r="A560" s="2"/>
      <c r="B560" s="2"/>
      <c r="C560" s="2"/>
      <c r="D560" s="2"/>
      <c r="E560" s="2"/>
    </row>
    <row r="561" ht="15.75" customHeight="1">
      <c r="A561" s="2"/>
      <c r="B561" s="2"/>
      <c r="C561" s="2"/>
      <c r="D561" s="2"/>
      <c r="E561" s="2"/>
    </row>
    <row r="562" ht="15.75" customHeight="1">
      <c r="A562" s="2"/>
      <c r="B562" s="2"/>
      <c r="C562" s="2"/>
      <c r="D562" s="2"/>
      <c r="E562" s="2"/>
    </row>
    <row r="563" ht="15.75" customHeight="1">
      <c r="A563" s="2"/>
      <c r="B563" s="2"/>
      <c r="C563" s="2"/>
      <c r="D563" s="2"/>
      <c r="E563" s="2"/>
    </row>
    <row r="564" ht="15.75" customHeight="1">
      <c r="A564" s="2"/>
      <c r="B564" s="2"/>
      <c r="C564" s="2"/>
      <c r="D564" s="2"/>
      <c r="E564" s="2"/>
    </row>
    <row r="565" ht="15.75" customHeight="1">
      <c r="A565" s="2"/>
      <c r="B565" s="2"/>
      <c r="C565" s="2"/>
      <c r="D565" s="2"/>
      <c r="E565" s="2"/>
    </row>
    <row r="566" ht="15.75" customHeight="1">
      <c r="A566" s="2"/>
      <c r="B566" s="2"/>
      <c r="C566" s="2"/>
      <c r="D566" s="2"/>
      <c r="E566" s="2"/>
    </row>
    <row r="567" ht="15.75" customHeight="1">
      <c r="A567" s="2"/>
      <c r="B567" s="2"/>
      <c r="C567" s="2"/>
      <c r="D567" s="2"/>
      <c r="E567" s="2"/>
    </row>
    <row r="568" ht="15.75" customHeight="1">
      <c r="A568" s="2"/>
      <c r="B568" s="2"/>
      <c r="C568" s="2"/>
      <c r="D568" s="2"/>
      <c r="E568" s="2"/>
    </row>
    <row r="569" ht="15.75" customHeight="1">
      <c r="A569" s="2"/>
      <c r="B569" s="2"/>
      <c r="C569" s="2"/>
      <c r="D569" s="2"/>
      <c r="E569" s="2"/>
    </row>
    <row r="570" ht="15.75" customHeight="1">
      <c r="A570" s="2"/>
      <c r="B570" s="2"/>
      <c r="C570" s="2"/>
      <c r="D570" s="2"/>
      <c r="E570" s="2"/>
    </row>
    <row r="571" ht="15.75" customHeight="1">
      <c r="A571" s="2"/>
      <c r="B571" s="2"/>
      <c r="C571" s="2"/>
      <c r="D571" s="2"/>
      <c r="E571" s="2"/>
    </row>
    <row r="572" ht="15.75" customHeight="1">
      <c r="A572" s="2"/>
      <c r="B572" s="2"/>
      <c r="C572" s="2"/>
      <c r="D572" s="2"/>
      <c r="E572" s="2"/>
    </row>
    <row r="573" ht="15.75" customHeight="1">
      <c r="A573" s="2"/>
      <c r="B573" s="2"/>
      <c r="C573" s="2"/>
      <c r="D573" s="2"/>
      <c r="E573" s="2"/>
    </row>
    <row r="574" ht="15.75" customHeight="1">
      <c r="A574" s="2"/>
      <c r="B574" s="2"/>
      <c r="C574" s="2"/>
      <c r="D574" s="2"/>
      <c r="E574" s="2"/>
    </row>
    <row r="575" ht="15.75" customHeight="1">
      <c r="A575" s="2"/>
      <c r="B575" s="2"/>
      <c r="C575" s="2"/>
      <c r="D575" s="2"/>
      <c r="E575" s="2"/>
    </row>
    <row r="576" ht="15.75" customHeight="1">
      <c r="A576" s="2"/>
      <c r="B576" s="2"/>
      <c r="C576" s="2"/>
      <c r="D576" s="2"/>
      <c r="E576" s="2"/>
    </row>
    <row r="577" ht="15.75" customHeight="1">
      <c r="A577" s="2"/>
      <c r="B577" s="2"/>
      <c r="C577" s="2"/>
      <c r="D577" s="2"/>
      <c r="E577" s="2"/>
    </row>
    <row r="578" ht="15.75" customHeight="1">
      <c r="A578" s="2"/>
      <c r="B578" s="2"/>
      <c r="C578" s="2"/>
      <c r="D578" s="2"/>
      <c r="E578" s="2"/>
    </row>
    <row r="579" ht="15.75" customHeight="1">
      <c r="A579" s="2"/>
      <c r="B579" s="2"/>
      <c r="C579" s="2"/>
      <c r="D579" s="2"/>
      <c r="E579" s="2"/>
    </row>
    <row r="580" ht="15.75" customHeight="1">
      <c r="A580" s="2"/>
      <c r="B580" s="2"/>
      <c r="C580" s="2"/>
      <c r="D580" s="2"/>
      <c r="E580" s="2"/>
    </row>
    <row r="581" ht="15.75" customHeight="1">
      <c r="A581" s="2"/>
      <c r="B581" s="2"/>
      <c r="C581" s="2"/>
      <c r="D581" s="2"/>
      <c r="E581" s="2"/>
    </row>
    <row r="582" ht="15.75" customHeight="1">
      <c r="A582" s="2"/>
      <c r="B582" s="2"/>
      <c r="C582" s="2"/>
      <c r="D582" s="2"/>
      <c r="E582" s="2"/>
    </row>
    <row r="583" ht="15.75" customHeight="1">
      <c r="A583" s="2"/>
      <c r="B583" s="2"/>
      <c r="C583" s="2"/>
      <c r="D583" s="2"/>
      <c r="E583" s="2"/>
    </row>
    <row r="584" ht="15.75" customHeight="1">
      <c r="A584" s="2"/>
      <c r="B584" s="2"/>
      <c r="C584" s="2"/>
      <c r="D584" s="2"/>
      <c r="E584" s="2"/>
    </row>
    <row r="585" ht="15.75" customHeight="1">
      <c r="A585" s="2"/>
      <c r="B585" s="2"/>
      <c r="C585" s="2"/>
      <c r="D585" s="2"/>
      <c r="E585" s="2"/>
    </row>
    <row r="586" ht="15.75" customHeight="1">
      <c r="A586" s="2"/>
      <c r="B586" s="2"/>
      <c r="C586" s="2"/>
      <c r="D586" s="2"/>
      <c r="E586" s="2"/>
    </row>
    <row r="587" ht="15.75" customHeight="1">
      <c r="A587" s="2"/>
      <c r="B587" s="2"/>
      <c r="C587" s="2"/>
      <c r="D587" s="2"/>
      <c r="E587" s="2"/>
    </row>
    <row r="588" ht="15.75" customHeight="1">
      <c r="A588" s="2"/>
      <c r="B588" s="2"/>
      <c r="C588" s="2"/>
      <c r="D588" s="2"/>
      <c r="E588" s="2"/>
    </row>
    <row r="589" ht="15.75" customHeight="1">
      <c r="A589" s="2"/>
      <c r="B589" s="2"/>
      <c r="C589" s="2"/>
      <c r="D589" s="2"/>
      <c r="E589" s="2"/>
    </row>
    <row r="590" ht="15.75" customHeight="1">
      <c r="A590" s="2"/>
      <c r="B590" s="2"/>
      <c r="C590" s="2"/>
      <c r="D590" s="2"/>
      <c r="E590" s="2"/>
    </row>
    <row r="591" ht="15.75" customHeight="1">
      <c r="A591" s="2"/>
      <c r="B591" s="2"/>
      <c r="C591" s="2"/>
      <c r="D591" s="2"/>
      <c r="E591" s="2"/>
    </row>
    <row r="592" ht="15.75" customHeight="1">
      <c r="A592" s="2"/>
      <c r="B592" s="2"/>
      <c r="C592" s="2"/>
      <c r="D592" s="2"/>
      <c r="E592" s="2"/>
    </row>
    <row r="593" ht="15.75" customHeight="1">
      <c r="A593" s="2"/>
      <c r="B593" s="2"/>
      <c r="C593" s="2"/>
      <c r="D593" s="2"/>
      <c r="E593" s="2"/>
    </row>
    <row r="594" ht="15.75" customHeight="1">
      <c r="A594" s="2"/>
      <c r="B594" s="2"/>
      <c r="C594" s="2"/>
      <c r="D594" s="2"/>
      <c r="E594" s="2"/>
    </row>
    <row r="595" ht="15.75" customHeight="1">
      <c r="A595" s="2"/>
      <c r="B595" s="2"/>
      <c r="C595" s="2"/>
      <c r="D595" s="2"/>
      <c r="E595" s="2"/>
    </row>
    <row r="596" ht="15.75" customHeight="1">
      <c r="A596" s="2"/>
      <c r="B596" s="2"/>
      <c r="C596" s="2"/>
      <c r="D596" s="2"/>
      <c r="E596" s="2"/>
    </row>
    <row r="597" ht="15.75" customHeight="1">
      <c r="A597" s="2"/>
      <c r="B597" s="2"/>
      <c r="C597" s="2"/>
      <c r="D597" s="2"/>
      <c r="E597" s="2"/>
    </row>
    <row r="598" ht="15.75" customHeight="1">
      <c r="A598" s="2"/>
      <c r="B598" s="2"/>
      <c r="C598" s="2"/>
      <c r="D598" s="2"/>
      <c r="E598" s="2"/>
    </row>
    <row r="599" ht="15.75" customHeight="1">
      <c r="A599" s="2"/>
      <c r="B599" s="2"/>
      <c r="C599" s="2"/>
      <c r="D599" s="2"/>
      <c r="E599" s="2"/>
    </row>
    <row r="600" ht="15.75" customHeight="1">
      <c r="A600" s="2"/>
      <c r="B600" s="2"/>
      <c r="C600" s="2"/>
      <c r="D600" s="2"/>
      <c r="E600" s="2"/>
    </row>
    <row r="601" ht="15.75" customHeight="1">
      <c r="A601" s="2"/>
      <c r="B601" s="2"/>
      <c r="C601" s="2"/>
      <c r="D601" s="2"/>
      <c r="E601" s="2"/>
    </row>
    <row r="602" ht="15.75" customHeight="1">
      <c r="A602" s="2"/>
      <c r="B602" s="2"/>
      <c r="C602" s="2"/>
      <c r="D602" s="2"/>
      <c r="E602" s="2"/>
    </row>
    <row r="603" ht="15.75" customHeight="1">
      <c r="A603" s="2"/>
      <c r="B603" s="2"/>
      <c r="C603" s="2"/>
      <c r="D603" s="2"/>
      <c r="E603" s="2"/>
    </row>
    <row r="604" ht="15.75" customHeight="1">
      <c r="A604" s="2"/>
      <c r="B604" s="2"/>
      <c r="C604" s="2"/>
      <c r="D604" s="2"/>
      <c r="E604" s="2"/>
    </row>
    <row r="605" ht="15.75" customHeight="1">
      <c r="A605" s="2"/>
      <c r="B605" s="2"/>
      <c r="C605" s="2"/>
      <c r="D605" s="2"/>
      <c r="E605" s="2"/>
    </row>
    <row r="606" ht="15.75" customHeight="1">
      <c r="A606" s="2"/>
      <c r="B606" s="2"/>
      <c r="C606" s="2"/>
      <c r="D606" s="2"/>
      <c r="E606" s="2"/>
    </row>
    <row r="607" ht="15.75" customHeight="1">
      <c r="A607" s="2"/>
      <c r="B607" s="2"/>
      <c r="C607" s="2"/>
      <c r="D607" s="2"/>
      <c r="E607" s="2"/>
    </row>
    <row r="608" ht="15.75" customHeight="1">
      <c r="A608" s="2"/>
      <c r="B608" s="2"/>
      <c r="C608" s="2"/>
      <c r="D608" s="2"/>
      <c r="E608" s="2"/>
    </row>
    <row r="609" ht="15.75" customHeight="1">
      <c r="A609" s="2"/>
      <c r="B609" s="2"/>
      <c r="C609" s="2"/>
      <c r="D609" s="2"/>
      <c r="E609" s="2"/>
    </row>
    <row r="610" ht="15.75" customHeight="1">
      <c r="A610" s="2"/>
      <c r="B610" s="2"/>
      <c r="C610" s="2"/>
      <c r="D610" s="2"/>
      <c r="E610" s="2"/>
    </row>
    <row r="611" ht="15.75" customHeight="1">
      <c r="A611" s="2"/>
      <c r="B611" s="2"/>
      <c r="C611" s="2"/>
      <c r="D611" s="2"/>
      <c r="E611" s="2"/>
    </row>
    <row r="612" ht="15.75" customHeight="1">
      <c r="A612" s="2"/>
      <c r="B612" s="2"/>
      <c r="C612" s="2"/>
      <c r="D612" s="2"/>
      <c r="E612" s="2"/>
    </row>
    <row r="613" ht="15.75" customHeight="1">
      <c r="A613" s="2"/>
      <c r="B613" s="2"/>
      <c r="C613" s="2"/>
      <c r="D613" s="2"/>
      <c r="E613" s="2"/>
    </row>
    <row r="614" ht="15.75" customHeight="1">
      <c r="A614" s="2"/>
      <c r="B614" s="2"/>
      <c r="C614" s="2"/>
      <c r="D614" s="2"/>
      <c r="E614" s="2"/>
    </row>
    <row r="615" ht="15.75" customHeight="1">
      <c r="A615" s="2"/>
      <c r="B615" s="2"/>
      <c r="C615" s="2"/>
      <c r="D615" s="2"/>
      <c r="E615" s="2"/>
    </row>
    <row r="616" ht="15.75" customHeight="1">
      <c r="A616" s="2"/>
      <c r="B616" s="2"/>
      <c r="C616" s="2"/>
      <c r="D616" s="2"/>
      <c r="E616" s="2"/>
    </row>
    <row r="617" ht="15.75" customHeight="1">
      <c r="A617" s="2"/>
      <c r="B617" s="2"/>
      <c r="C617" s="2"/>
      <c r="D617" s="2"/>
      <c r="E617" s="2"/>
    </row>
    <row r="618" ht="15.75" customHeight="1">
      <c r="A618" s="2"/>
      <c r="B618" s="2"/>
      <c r="C618" s="2"/>
      <c r="D618" s="2"/>
      <c r="E618" s="2"/>
    </row>
    <row r="619" ht="15.75" customHeight="1">
      <c r="A619" s="2"/>
      <c r="B619" s="2"/>
      <c r="C619" s="2"/>
      <c r="D619" s="2"/>
      <c r="E619" s="2"/>
    </row>
    <row r="620" ht="15.75" customHeight="1">
      <c r="A620" s="2"/>
      <c r="B620" s="2"/>
      <c r="C620" s="2"/>
      <c r="D620" s="2"/>
      <c r="E620" s="2"/>
    </row>
    <row r="621" ht="15.75" customHeight="1">
      <c r="A621" s="2"/>
      <c r="B621" s="2"/>
      <c r="C621" s="2"/>
      <c r="D621" s="2"/>
      <c r="E621" s="2"/>
    </row>
    <row r="622" ht="15.75" customHeight="1">
      <c r="A622" s="2"/>
      <c r="B622" s="2"/>
      <c r="C622" s="2"/>
      <c r="D622" s="2"/>
      <c r="E622" s="2"/>
    </row>
    <row r="623" ht="15.75" customHeight="1">
      <c r="A623" s="2"/>
      <c r="B623" s="2"/>
      <c r="C623" s="2"/>
      <c r="D623" s="2"/>
      <c r="E623" s="2"/>
    </row>
    <row r="624" ht="15.75" customHeight="1">
      <c r="A624" s="2"/>
      <c r="B624" s="2"/>
      <c r="C624" s="2"/>
      <c r="D624" s="2"/>
      <c r="E624" s="2"/>
    </row>
    <row r="625" ht="15.75" customHeight="1">
      <c r="A625" s="2"/>
      <c r="B625" s="2"/>
      <c r="C625" s="2"/>
      <c r="D625" s="2"/>
      <c r="E625" s="2"/>
    </row>
    <row r="626" ht="15.75" customHeight="1">
      <c r="A626" s="2"/>
      <c r="B626" s="2"/>
      <c r="C626" s="2"/>
      <c r="D626" s="2"/>
      <c r="E626" s="2"/>
    </row>
    <row r="627" ht="15.75" customHeight="1">
      <c r="A627" s="2"/>
      <c r="B627" s="2"/>
      <c r="C627" s="2"/>
      <c r="D627" s="2"/>
      <c r="E627" s="2"/>
    </row>
    <row r="628" ht="15.75" customHeight="1">
      <c r="A628" s="2"/>
      <c r="B628" s="2"/>
      <c r="C628" s="2"/>
      <c r="D628" s="2"/>
      <c r="E628" s="2"/>
    </row>
    <row r="629" ht="15.75" customHeight="1">
      <c r="A629" s="2"/>
      <c r="B629" s="2"/>
      <c r="C629" s="2"/>
      <c r="D629" s="2"/>
      <c r="E629" s="2"/>
    </row>
    <row r="630" ht="15.75" customHeight="1">
      <c r="A630" s="2"/>
      <c r="B630" s="2"/>
      <c r="C630" s="2"/>
      <c r="D630" s="2"/>
      <c r="E630" s="2"/>
    </row>
    <row r="631" ht="15.75" customHeight="1">
      <c r="A631" s="2"/>
      <c r="B631" s="2"/>
      <c r="C631" s="2"/>
      <c r="D631" s="2"/>
      <c r="E631" s="2"/>
    </row>
    <row r="632" ht="15.75" customHeight="1">
      <c r="A632" s="2"/>
      <c r="B632" s="2"/>
      <c r="C632" s="2"/>
      <c r="D632" s="2"/>
      <c r="E632" s="2"/>
    </row>
    <row r="633" ht="15.75" customHeight="1">
      <c r="A633" s="2"/>
      <c r="B633" s="2"/>
      <c r="C633" s="2"/>
      <c r="D633" s="2"/>
      <c r="E633" s="2"/>
    </row>
    <row r="634" ht="15.75" customHeight="1">
      <c r="A634" s="2"/>
      <c r="B634" s="2"/>
      <c r="C634" s="2"/>
      <c r="D634" s="2"/>
      <c r="E634" s="2"/>
    </row>
    <row r="635" ht="15.75" customHeight="1">
      <c r="A635" s="2"/>
      <c r="B635" s="2"/>
      <c r="C635" s="2"/>
      <c r="D635" s="2"/>
      <c r="E635" s="2"/>
    </row>
    <row r="636" ht="15.75" customHeight="1">
      <c r="A636" s="2"/>
      <c r="B636" s="2"/>
      <c r="C636" s="2"/>
      <c r="D636" s="2"/>
      <c r="E636" s="2"/>
    </row>
    <row r="637" ht="15.75" customHeight="1">
      <c r="A637" s="2"/>
      <c r="B637" s="2"/>
      <c r="C637" s="2"/>
      <c r="D637" s="2"/>
      <c r="E637" s="2"/>
    </row>
    <row r="638" ht="15.75" customHeight="1">
      <c r="A638" s="2"/>
      <c r="B638" s="2"/>
      <c r="C638" s="2"/>
      <c r="D638" s="2"/>
      <c r="E638" s="2"/>
    </row>
    <row r="639" ht="15.75" customHeight="1">
      <c r="A639" s="2"/>
      <c r="B639" s="2"/>
      <c r="C639" s="2"/>
      <c r="D639" s="2"/>
      <c r="E639" s="2"/>
    </row>
    <row r="640" ht="15.75" customHeight="1">
      <c r="A640" s="2"/>
      <c r="B640" s="2"/>
      <c r="C640" s="2"/>
      <c r="D640" s="2"/>
      <c r="E640" s="2"/>
    </row>
    <row r="641" ht="15.75" customHeight="1">
      <c r="A641" s="2"/>
      <c r="B641" s="2"/>
      <c r="C641" s="2"/>
      <c r="D641" s="2"/>
      <c r="E641" s="2"/>
    </row>
    <row r="642" ht="15.75" customHeight="1">
      <c r="A642" s="2"/>
      <c r="B642" s="2"/>
      <c r="C642" s="2"/>
      <c r="D642" s="2"/>
      <c r="E642" s="2"/>
    </row>
    <row r="643" ht="15.75" customHeight="1">
      <c r="A643" s="2"/>
      <c r="B643" s="2"/>
      <c r="C643" s="2"/>
      <c r="D643" s="2"/>
      <c r="E643" s="2"/>
    </row>
    <row r="644" ht="15.75" customHeight="1">
      <c r="A644" s="2"/>
      <c r="B644" s="2"/>
      <c r="C644" s="2"/>
      <c r="D644" s="2"/>
      <c r="E644" s="2"/>
    </row>
    <row r="645" ht="15.75" customHeight="1">
      <c r="A645" s="2"/>
      <c r="B645" s="2"/>
      <c r="C645" s="2"/>
      <c r="D645" s="2"/>
      <c r="E645" s="2"/>
    </row>
    <row r="646" ht="15.75" customHeight="1">
      <c r="A646" s="2"/>
      <c r="B646" s="2"/>
      <c r="C646" s="2"/>
      <c r="D646" s="2"/>
      <c r="E646" s="2"/>
    </row>
    <row r="647" ht="15.75" customHeight="1">
      <c r="A647" s="2"/>
      <c r="B647" s="2"/>
      <c r="C647" s="2"/>
      <c r="D647" s="2"/>
      <c r="E647" s="2"/>
    </row>
    <row r="648" ht="15.75" customHeight="1">
      <c r="A648" s="2"/>
      <c r="B648" s="2"/>
      <c r="C648" s="2"/>
      <c r="D648" s="2"/>
      <c r="E648" s="2"/>
    </row>
    <row r="649" ht="15.75" customHeight="1">
      <c r="A649" s="2"/>
      <c r="B649" s="2"/>
      <c r="C649" s="2"/>
      <c r="D649" s="2"/>
      <c r="E649" s="2"/>
    </row>
    <row r="650" ht="15.75" customHeight="1">
      <c r="A650" s="2"/>
      <c r="B650" s="2"/>
      <c r="C650" s="2"/>
      <c r="D650" s="2"/>
      <c r="E650" s="2"/>
    </row>
    <row r="651" ht="15.75" customHeight="1">
      <c r="A651" s="2"/>
      <c r="B651" s="2"/>
      <c r="C651" s="2"/>
      <c r="D651" s="2"/>
      <c r="E651" s="2"/>
    </row>
    <row r="652" ht="15.75" customHeight="1">
      <c r="A652" s="2"/>
      <c r="B652" s="2"/>
      <c r="C652" s="2"/>
      <c r="D652" s="2"/>
      <c r="E652" s="2"/>
    </row>
    <row r="653" ht="15.75" customHeight="1">
      <c r="A653" s="2"/>
      <c r="B653" s="2"/>
      <c r="C653" s="2"/>
      <c r="D653" s="2"/>
      <c r="E653" s="2"/>
    </row>
    <row r="654" ht="15.75" customHeight="1">
      <c r="A654" s="2"/>
      <c r="B654" s="2"/>
      <c r="C654" s="2"/>
      <c r="D654" s="2"/>
      <c r="E654" s="2"/>
    </row>
    <row r="655" ht="15.75" customHeight="1">
      <c r="A655" s="2"/>
      <c r="B655" s="2"/>
      <c r="C655" s="2"/>
      <c r="D655" s="2"/>
      <c r="E655" s="2"/>
    </row>
    <row r="656" ht="15.75" customHeight="1">
      <c r="A656" s="2"/>
      <c r="B656" s="2"/>
      <c r="C656" s="2"/>
      <c r="D656" s="2"/>
      <c r="E656" s="2"/>
    </row>
    <row r="657" ht="15.75" customHeight="1">
      <c r="A657" s="2"/>
      <c r="B657" s="2"/>
      <c r="C657" s="2"/>
      <c r="D657" s="2"/>
      <c r="E657" s="2"/>
    </row>
    <row r="658" ht="15.75" customHeight="1">
      <c r="A658" s="2"/>
      <c r="B658" s="2"/>
      <c r="C658" s="2"/>
      <c r="D658" s="2"/>
      <c r="E658" s="2"/>
    </row>
    <row r="659" ht="15.75" customHeight="1">
      <c r="A659" s="2"/>
      <c r="B659" s="2"/>
      <c r="C659" s="2"/>
      <c r="D659" s="2"/>
      <c r="E659" s="2"/>
    </row>
    <row r="660" ht="15.75" customHeight="1">
      <c r="A660" s="2"/>
      <c r="B660" s="2"/>
      <c r="C660" s="2"/>
      <c r="D660" s="2"/>
      <c r="E660" s="2"/>
    </row>
    <row r="661" ht="15.75" customHeight="1">
      <c r="A661" s="2"/>
      <c r="B661" s="2"/>
      <c r="C661" s="2"/>
      <c r="D661" s="2"/>
      <c r="E661" s="2"/>
    </row>
    <row r="662" ht="15.75" customHeight="1">
      <c r="A662" s="2"/>
      <c r="B662" s="2"/>
      <c r="C662" s="2"/>
      <c r="D662" s="2"/>
      <c r="E662" s="2"/>
    </row>
    <row r="663" ht="15.75" customHeight="1">
      <c r="A663" s="2"/>
      <c r="B663" s="2"/>
      <c r="C663" s="2"/>
      <c r="D663" s="2"/>
      <c r="E663" s="2"/>
    </row>
    <row r="664" ht="15.75" customHeight="1">
      <c r="A664" s="2"/>
      <c r="B664" s="2"/>
      <c r="C664" s="2"/>
      <c r="D664" s="2"/>
      <c r="E664" s="2"/>
    </row>
    <row r="665" ht="15.75" customHeight="1">
      <c r="A665" s="2"/>
      <c r="B665" s="2"/>
      <c r="C665" s="2"/>
      <c r="D665" s="2"/>
      <c r="E665" s="2"/>
    </row>
    <row r="666" ht="15.75" customHeight="1">
      <c r="A666" s="2"/>
      <c r="B666" s="2"/>
      <c r="C666" s="2"/>
      <c r="D666" s="2"/>
      <c r="E666" s="2"/>
    </row>
    <row r="667" ht="15.75" customHeight="1">
      <c r="A667" s="2"/>
      <c r="B667" s="2"/>
      <c r="C667" s="2"/>
      <c r="D667" s="2"/>
      <c r="E667" s="2"/>
    </row>
    <row r="668" ht="15.75" customHeight="1">
      <c r="A668" s="2"/>
      <c r="B668" s="2"/>
      <c r="C668" s="2"/>
      <c r="D668" s="2"/>
      <c r="E668" s="2"/>
    </row>
    <row r="669" ht="15.75" customHeight="1">
      <c r="A669" s="2"/>
      <c r="B669" s="2"/>
      <c r="C669" s="2"/>
      <c r="D669" s="2"/>
      <c r="E669" s="2"/>
    </row>
    <row r="670" ht="15.75" customHeight="1">
      <c r="A670" s="2"/>
      <c r="B670" s="2"/>
      <c r="C670" s="2"/>
      <c r="D670" s="2"/>
      <c r="E670" s="2"/>
    </row>
    <row r="671" ht="15.75" customHeight="1">
      <c r="A671" s="2"/>
      <c r="B671" s="2"/>
      <c r="C671" s="2"/>
      <c r="D671" s="2"/>
      <c r="E671" s="2"/>
    </row>
    <row r="672" ht="15.75" customHeight="1">
      <c r="A672" s="2"/>
      <c r="B672" s="2"/>
      <c r="C672" s="2"/>
      <c r="D672" s="2"/>
      <c r="E672" s="2"/>
    </row>
    <row r="673" ht="15.75" customHeight="1">
      <c r="A673" s="2"/>
      <c r="B673" s="2"/>
      <c r="C673" s="2"/>
      <c r="D673" s="2"/>
      <c r="E673" s="2"/>
    </row>
    <row r="674" ht="15.75" customHeight="1">
      <c r="A674" s="2"/>
      <c r="B674" s="2"/>
      <c r="C674" s="2"/>
      <c r="D674" s="2"/>
      <c r="E674" s="2"/>
    </row>
    <row r="675" ht="15.75" customHeight="1">
      <c r="A675" s="2"/>
      <c r="B675" s="2"/>
      <c r="C675" s="2"/>
      <c r="D675" s="2"/>
      <c r="E675" s="2"/>
    </row>
    <row r="676" ht="15.75" customHeight="1">
      <c r="A676" s="2"/>
      <c r="B676" s="2"/>
      <c r="C676" s="2"/>
      <c r="D676" s="2"/>
      <c r="E676" s="2"/>
    </row>
    <row r="677" ht="15.75" customHeight="1">
      <c r="A677" s="2"/>
      <c r="B677" s="2"/>
      <c r="C677" s="2"/>
      <c r="D677" s="2"/>
      <c r="E677" s="2"/>
    </row>
    <row r="678" ht="15.75" customHeight="1">
      <c r="A678" s="2"/>
      <c r="B678" s="2"/>
      <c r="C678" s="2"/>
      <c r="D678" s="2"/>
      <c r="E678" s="2"/>
    </row>
    <row r="679" ht="15.75" customHeight="1">
      <c r="A679" s="2"/>
      <c r="B679" s="2"/>
      <c r="C679" s="2"/>
      <c r="D679" s="2"/>
      <c r="E679" s="2"/>
    </row>
    <row r="680" ht="15.75" customHeight="1">
      <c r="A680" s="2"/>
      <c r="B680" s="2"/>
      <c r="C680" s="2"/>
      <c r="D680" s="2"/>
      <c r="E680" s="2"/>
    </row>
    <row r="681" ht="15.75" customHeight="1">
      <c r="A681" s="2"/>
      <c r="B681" s="2"/>
      <c r="C681" s="2"/>
      <c r="D681" s="2"/>
      <c r="E681" s="2"/>
    </row>
    <row r="682" ht="15.75" customHeight="1">
      <c r="A682" s="2"/>
      <c r="B682" s="2"/>
      <c r="C682" s="2"/>
      <c r="D682" s="2"/>
      <c r="E682" s="2"/>
    </row>
    <row r="683" ht="15.75" customHeight="1">
      <c r="A683" s="2"/>
      <c r="B683" s="2"/>
      <c r="C683" s="2"/>
      <c r="D683" s="2"/>
      <c r="E683" s="2"/>
    </row>
    <row r="684" ht="15.75" customHeight="1">
      <c r="A684" s="2"/>
      <c r="B684" s="2"/>
      <c r="C684" s="2"/>
      <c r="D684" s="2"/>
      <c r="E684" s="2"/>
    </row>
    <row r="685" ht="15.75" customHeight="1">
      <c r="A685" s="2"/>
      <c r="B685" s="2"/>
      <c r="C685" s="2"/>
      <c r="D685" s="2"/>
      <c r="E685" s="2"/>
    </row>
    <row r="686" ht="15.75" customHeight="1">
      <c r="A686" s="2"/>
      <c r="B686" s="2"/>
      <c r="C686" s="2"/>
      <c r="D686" s="2"/>
      <c r="E686" s="2"/>
    </row>
    <row r="687" ht="15.75" customHeight="1">
      <c r="A687" s="2"/>
      <c r="B687" s="2"/>
      <c r="C687" s="2"/>
      <c r="D687" s="2"/>
      <c r="E687" s="2"/>
    </row>
    <row r="688" ht="15.75" customHeight="1">
      <c r="A688" s="2"/>
      <c r="B688" s="2"/>
      <c r="C688" s="2"/>
      <c r="D688" s="2"/>
      <c r="E688" s="2"/>
    </row>
    <row r="689" ht="15.75" customHeight="1">
      <c r="A689" s="2"/>
      <c r="B689" s="2"/>
      <c r="C689" s="2"/>
      <c r="D689" s="2"/>
      <c r="E689" s="2"/>
    </row>
    <row r="690" ht="15.75" customHeight="1">
      <c r="A690" s="2"/>
      <c r="B690" s="2"/>
      <c r="C690" s="2"/>
      <c r="D690" s="2"/>
      <c r="E690" s="2"/>
    </row>
    <row r="691" ht="15.75" customHeight="1">
      <c r="A691" s="2"/>
      <c r="B691" s="2"/>
      <c r="C691" s="2"/>
      <c r="D691" s="2"/>
      <c r="E691" s="2"/>
    </row>
    <row r="692" ht="15.75" customHeight="1">
      <c r="A692" s="2"/>
      <c r="B692" s="2"/>
      <c r="C692" s="2"/>
      <c r="D692" s="2"/>
      <c r="E692" s="2"/>
    </row>
    <row r="693" ht="15.75" customHeight="1">
      <c r="A693" s="2"/>
      <c r="B693" s="2"/>
      <c r="C693" s="2"/>
      <c r="D693" s="2"/>
      <c r="E693" s="2"/>
    </row>
    <row r="694" ht="15.75" customHeight="1">
      <c r="A694" s="2"/>
      <c r="B694" s="2"/>
      <c r="C694" s="2"/>
      <c r="D694" s="2"/>
      <c r="E694" s="2"/>
    </row>
    <row r="695" ht="15.75" customHeight="1">
      <c r="A695" s="2"/>
      <c r="B695" s="2"/>
      <c r="C695" s="2"/>
      <c r="D695" s="2"/>
      <c r="E695" s="2"/>
    </row>
    <row r="696" ht="15.75" customHeight="1">
      <c r="A696" s="2"/>
      <c r="B696" s="2"/>
      <c r="C696" s="2"/>
      <c r="D696" s="2"/>
      <c r="E696" s="2"/>
    </row>
    <row r="697" ht="15.75" customHeight="1">
      <c r="A697" s="2"/>
      <c r="B697" s="2"/>
      <c r="C697" s="2"/>
      <c r="D697" s="2"/>
      <c r="E697" s="2"/>
    </row>
    <row r="698" ht="15.75" customHeight="1">
      <c r="A698" s="2"/>
      <c r="B698" s="2"/>
      <c r="C698" s="2"/>
      <c r="D698" s="2"/>
      <c r="E698" s="2"/>
    </row>
    <row r="699" ht="15.75" customHeight="1">
      <c r="A699" s="2"/>
      <c r="B699" s="2"/>
      <c r="C699" s="2"/>
      <c r="D699" s="2"/>
      <c r="E699" s="2"/>
    </row>
    <row r="700" ht="15.75" customHeight="1">
      <c r="A700" s="2"/>
      <c r="B700" s="2"/>
      <c r="C700" s="2"/>
      <c r="D700" s="2"/>
      <c r="E700" s="2"/>
    </row>
    <row r="701" ht="15.75" customHeight="1">
      <c r="A701" s="2"/>
      <c r="B701" s="2"/>
      <c r="C701" s="2"/>
      <c r="D701" s="2"/>
      <c r="E701" s="2"/>
    </row>
    <row r="702" ht="15.75" customHeight="1">
      <c r="A702" s="2"/>
      <c r="B702" s="2"/>
      <c r="C702" s="2"/>
      <c r="D702" s="2"/>
      <c r="E702" s="2"/>
    </row>
    <row r="703" ht="15.75" customHeight="1">
      <c r="A703" s="2"/>
      <c r="B703" s="2"/>
      <c r="C703" s="2"/>
      <c r="D703" s="2"/>
      <c r="E703" s="2"/>
    </row>
    <row r="704" ht="15.75" customHeight="1">
      <c r="A704" s="2"/>
      <c r="B704" s="2"/>
      <c r="C704" s="2"/>
      <c r="D704" s="2"/>
      <c r="E704" s="2"/>
    </row>
    <row r="705" ht="15.75" customHeight="1">
      <c r="A705" s="2"/>
      <c r="B705" s="2"/>
      <c r="C705" s="2"/>
      <c r="D705" s="2"/>
      <c r="E705" s="2"/>
    </row>
    <row r="706" ht="15.75" customHeight="1">
      <c r="A706" s="2"/>
      <c r="B706" s="2"/>
      <c r="C706" s="2"/>
      <c r="D706" s="2"/>
      <c r="E706" s="2"/>
    </row>
    <row r="707" ht="15.75" customHeight="1">
      <c r="A707" s="2"/>
      <c r="B707" s="2"/>
      <c r="C707" s="2"/>
      <c r="D707" s="2"/>
      <c r="E707" s="2"/>
    </row>
    <row r="708" ht="15.75" customHeight="1">
      <c r="A708" s="2"/>
      <c r="B708" s="2"/>
      <c r="C708" s="2"/>
      <c r="D708" s="2"/>
      <c r="E708" s="2"/>
    </row>
    <row r="709" ht="15.75" customHeight="1">
      <c r="A709" s="2"/>
      <c r="B709" s="2"/>
      <c r="C709" s="2"/>
      <c r="D709" s="2"/>
      <c r="E709" s="2"/>
    </row>
    <row r="710" ht="15.75" customHeight="1">
      <c r="A710" s="2"/>
      <c r="B710" s="2"/>
      <c r="C710" s="2"/>
      <c r="D710" s="2"/>
      <c r="E710" s="2"/>
    </row>
    <row r="711" ht="15.75" customHeight="1">
      <c r="A711" s="2"/>
      <c r="B711" s="2"/>
      <c r="C711" s="2"/>
      <c r="D711" s="2"/>
      <c r="E711" s="2"/>
    </row>
    <row r="712" ht="15.75" customHeight="1">
      <c r="A712" s="2"/>
      <c r="B712" s="2"/>
      <c r="C712" s="2"/>
      <c r="D712" s="2"/>
      <c r="E712" s="2"/>
    </row>
    <row r="713" ht="15.75" customHeight="1">
      <c r="A713" s="2"/>
      <c r="B713" s="2"/>
      <c r="C713" s="2"/>
      <c r="D713" s="2"/>
      <c r="E713" s="2"/>
    </row>
    <row r="714" ht="15.75" customHeight="1">
      <c r="A714" s="2"/>
      <c r="B714" s="2"/>
      <c r="C714" s="2"/>
      <c r="D714" s="2"/>
      <c r="E714" s="2"/>
    </row>
    <row r="715" ht="15.75" customHeight="1">
      <c r="A715" s="2"/>
      <c r="B715" s="2"/>
      <c r="C715" s="2"/>
      <c r="D715" s="2"/>
      <c r="E715" s="2"/>
    </row>
    <row r="716" ht="15.75" customHeight="1">
      <c r="A716" s="2"/>
      <c r="B716" s="2"/>
      <c r="C716" s="2"/>
      <c r="D716" s="2"/>
      <c r="E716" s="2"/>
    </row>
    <row r="717" ht="15.75" customHeight="1">
      <c r="A717" s="2"/>
      <c r="B717" s="2"/>
      <c r="C717" s="2"/>
      <c r="D717" s="2"/>
      <c r="E717" s="2"/>
    </row>
    <row r="718" ht="15.75" customHeight="1">
      <c r="A718" s="2"/>
      <c r="B718" s="2"/>
      <c r="C718" s="2"/>
      <c r="D718" s="2"/>
      <c r="E718" s="2"/>
    </row>
    <row r="719" ht="15.75" customHeight="1">
      <c r="A719" s="2"/>
      <c r="B719" s="2"/>
      <c r="C719" s="2"/>
      <c r="D719" s="2"/>
      <c r="E719" s="2"/>
    </row>
    <row r="720" ht="15.75" customHeight="1">
      <c r="A720" s="2"/>
      <c r="B720" s="2"/>
      <c r="C720" s="2"/>
      <c r="D720" s="2"/>
      <c r="E720" s="2"/>
    </row>
    <row r="721" ht="15.75" customHeight="1">
      <c r="A721" s="2"/>
      <c r="B721" s="2"/>
      <c r="C721" s="2"/>
      <c r="D721" s="2"/>
      <c r="E721" s="2"/>
    </row>
    <row r="722" ht="15.75" customHeight="1">
      <c r="A722" s="2"/>
      <c r="B722" s="2"/>
      <c r="C722" s="2"/>
      <c r="D722" s="2"/>
      <c r="E722" s="2"/>
    </row>
    <row r="723" ht="15.75" customHeight="1">
      <c r="A723" s="2"/>
      <c r="B723" s="2"/>
      <c r="C723" s="2"/>
      <c r="D723" s="2"/>
      <c r="E723" s="2"/>
    </row>
    <row r="724" ht="15.75" customHeight="1">
      <c r="A724" s="2"/>
      <c r="B724" s="2"/>
      <c r="C724" s="2"/>
      <c r="D724" s="2"/>
      <c r="E724" s="2"/>
    </row>
    <row r="725" ht="15.75" customHeight="1">
      <c r="A725" s="2"/>
      <c r="B725" s="2"/>
      <c r="C725" s="2"/>
      <c r="D725" s="2"/>
      <c r="E725" s="2"/>
    </row>
    <row r="726" ht="15.75" customHeight="1">
      <c r="A726" s="2"/>
      <c r="B726" s="2"/>
      <c r="C726" s="2"/>
      <c r="D726" s="2"/>
      <c r="E726" s="2"/>
    </row>
    <row r="727" ht="15.75" customHeight="1">
      <c r="A727" s="2"/>
      <c r="B727" s="2"/>
      <c r="C727" s="2"/>
      <c r="D727" s="2"/>
      <c r="E727" s="2"/>
    </row>
    <row r="728" ht="15.75" customHeight="1">
      <c r="A728" s="2"/>
      <c r="B728" s="2"/>
      <c r="C728" s="2"/>
      <c r="D728" s="2"/>
      <c r="E728" s="2"/>
    </row>
    <row r="729" ht="15.75" customHeight="1">
      <c r="A729" s="2"/>
      <c r="B729" s="2"/>
      <c r="C729" s="2"/>
      <c r="D729" s="2"/>
      <c r="E729" s="2"/>
    </row>
    <row r="730" ht="15.75" customHeight="1">
      <c r="A730" s="2"/>
      <c r="B730" s="2"/>
      <c r="C730" s="2"/>
      <c r="D730" s="2"/>
      <c r="E730" s="2"/>
    </row>
    <row r="731" ht="15.75" customHeight="1">
      <c r="A731" s="2"/>
      <c r="B731" s="2"/>
      <c r="C731" s="2"/>
      <c r="D731" s="2"/>
      <c r="E731" s="2"/>
    </row>
    <row r="732" ht="15.75" customHeight="1">
      <c r="A732" s="2"/>
      <c r="B732" s="2"/>
      <c r="C732" s="2"/>
      <c r="D732" s="2"/>
      <c r="E732" s="2"/>
    </row>
    <row r="733" ht="15.75" customHeight="1">
      <c r="A733" s="2"/>
      <c r="B733" s="2"/>
      <c r="C733" s="2"/>
      <c r="D733" s="2"/>
      <c r="E733" s="2"/>
    </row>
    <row r="734" ht="15.75" customHeight="1">
      <c r="A734" s="2"/>
      <c r="B734" s="2"/>
      <c r="C734" s="2"/>
      <c r="D734" s="2"/>
      <c r="E734" s="2"/>
    </row>
    <row r="735" ht="15.75" customHeight="1">
      <c r="A735" s="2"/>
      <c r="B735" s="2"/>
      <c r="C735" s="2"/>
      <c r="D735" s="2"/>
      <c r="E735" s="2"/>
    </row>
    <row r="736" ht="15.75" customHeight="1">
      <c r="A736" s="2"/>
      <c r="B736" s="2"/>
      <c r="C736" s="2"/>
      <c r="D736" s="2"/>
      <c r="E736" s="2"/>
    </row>
    <row r="737" ht="15.75" customHeight="1">
      <c r="A737" s="2"/>
      <c r="B737" s="2"/>
      <c r="C737" s="2"/>
      <c r="D737" s="2"/>
      <c r="E737" s="2"/>
    </row>
    <row r="738" ht="15.75" customHeight="1">
      <c r="A738" s="2"/>
      <c r="B738" s="2"/>
      <c r="C738" s="2"/>
      <c r="D738" s="2"/>
      <c r="E738" s="2"/>
    </row>
    <row r="739" ht="15.75" customHeight="1">
      <c r="A739" s="2"/>
      <c r="B739" s="2"/>
      <c r="C739" s="2"/>
      <c r="D739" s="2"/>
      <c r="E739" s="2"/>
    </row>
    <row r="740" ht="15.75" customHeight="1">
      <c r="A740" s="2"/>
      <c r="B740" s="2"/>
      <c r="C740" s="2"/>
      <c r="D740" s="2"/>
      <c r="E740" s="2"/>
    </row>
    <row r="741" ht="15.75" customHeight="1">
      <c r="A741" s="2"/>
      <c r="B741" s="2"/>
      <c r="C741" s="2"/>
      <c r="D741" s="2"/>
      <c r="E741" s="2"/>
    </row>
    <row r="742" ht="15.75" customHeight="1">
      <c r="A742" s="2"/>
      <c r="B742" s="2"/>
      <c r="C742" s="2"/>
      <c r="D742" s="2"/>
      <c r="E742" s="2"/>
    </row>
    <row r="743" ht="15.75" customHeight="1">
      <c r="A743" s="2"/>
      <c r="B743" s="2"/>
      <c r="C743" s="2"/>
      <c r="D743" s="2"/>
      <c r="E743" s="2"/>
    </row>
    <row r="744" ht="15.75" customHeight="1">
      <c r="A744" s="2"/>
      <c r="B744" s="2"/>
      <c r="C744" s="2"/>
      <c r="D744" s="2"/>
      <c r="E744" s="2"/>
    </row>
    <row r="745" ht="15.75" customHeight="1">
      <c r="A745" s="2"/>
      <c r="B745" s="2"/>
      <c r="C745" s="2"/>
      <c r="D745" s="2"/>
      <c r="E745" s="2"/>
    </row>
    <row r="746" ht="15.75" customHeight="1">
      <c r="A746" s="2"/>
      <c r="B746" s="2"/>
      <c r="C746" s="2"/>
      <c r="D746" s="2"/>
      <c r="E746" s="2"/>
    </row>
    <row r="747" ht="15.75" customHeight="1">
      <c r="A747" s="2"/>
      <c r="B747" s="2"/>
      <c r="C747" s="2"/>
      <c r="D747" s="2"/>
      <c r="E747" s="2"/>
    </row>
    <row r="748" ht="15.75" customHeight="1">
      <c r="A748" s="2"/>
      <c r="B748" s="2"/>
      <c r="C748" s="2"/>
      <c r="D748" s="2"/>
      <c r="E748" s="2"/>
    </row>
    <row r="749" ht="15.75" customHeight="1">
      <c r="A749" s="2"/>
      <c r="B749" s="2"/>
      <c r="C749" s="2"/>
      <c r="D749" s="2"/>
      <c r="E749" s="2"/>
    </row>
    <row r="750" ht="15.75" customHeight="1">
      <c r="A750" s="2"/>
      <c r="B750" s="2"/>
      <c r="C750" s="2"/>
      <c r="D750" s="2"/>
      <c r="E750" s="2"/>
    </row>
    <row r="751" ht="15.75" customHeight="1">
      <c r="A751" s="2"/>
      <c r="B751" s="2"/>
      <c r="C751" s="2"/>
      <c r="D751" s="2"/>
      <c r="E751" s="2"/>
    </row>
    <row r="752" ht="15.75" customHeight="1">
      <c r="A752" s="2"/>
      <c r="B752" s="2"/>
      <c r="C752" s="2"/>
      <c r="D752" s="2"/>
      <c r="E752" s="2"/>
    </row>
    <row r="753" ht="15.75" customHeight="1">
      <c r="A753" s="2"/>
      <c r="B753" s="2"/>
      <c r="C753" s="2"/>
      <c r="D753" s="2"/>
      <c r="E753" s="2"/>
    </row>
    <row r="754" ht="15.75" customHeight="1">
      <c r="A754" s="2"/>
      <c r="B754" s="2"/>
      <c r="C754" s="2"/>
      <c r="D754" s="2"/>
      <c r="E754" s="2"/>
    </row>
    <row r="755" ht="15.75" customHeight="1">
      <c r="A755" s="2"/>
      <c r="B755" s="2"/>
      <c r="C755" s="2"/>
      <c r="D755" s="2"/>
      <c r="E755" s="2"/>
    </row>
    <row r="756" ht="15.75" customHeight="1">
      <c r="A756" s="2"/>
      <c r="B756" s="2"/>
      <c r="C756" s="2"/>
      <c r="D756" s="2"/>
      <c r="E756" s="2"/>
    </row>
    <row r="757" ht="15.75" customHeight="1">
      <c r="A757" s="2"/>
      <c r="B757" s="2"/>
      <c r="C757" s="2"/>
      <c r="D757" s="2"/>
      <c r="E757" s="2"/>
    </row>
    <row r="758" ht="15.75" customHeight="1">
      <c r="A758" s="2"/>
      <c r="B758" s="2"/>
      <c r="C758" s="2"/>
      <c r="D758" s="2"/>
      <c r="E758" s="2"/>
    </row>
    <row r="759" ht="15.75" customHeight="1">
      <c r="A759" s="2"/>
      <c r="B759" s="2"/>
      <c r="C759" s="2"/>
      <c r="D759" s="2"/>
      <c r="E759" s="2"/>
    </row>
    <row r="760" ht="15.75" customHeight="1">
      <c r="A760" s="2"/>
      <c r="B760" s="2"/>
      <c r="C760" s="2"/>
      <c r="D760" s="2"/>
      <c r="E760" s="2"/>
    </row>
    <row r="761" ht="15.75" customHeight="1">
      <c r="A761" s="2"/>
      <c r="B761" s="2"/>
      <c r="C761" s="2"/>
      <c r="D761" s="2"/>
      <c r="E761" s="2"/>
    </row>
    <row r="762" ht="15.75" customHeight="1">
      <c r="A762" s="2"/>
      <c r="B762" s="2"/>
      <c r="C762" s="2"/>
      <c r="D762" s="2"/>
      <c r="E762" s="2"/>
    </row>
    <row r="763" ht="15.75" customHeight="1">
      <c r="A763" s="2"/>
      <c r="B763" s="2"/>
      <c r="C763" s="2"/>
      <c r="D763" s="2"/>
      <c r="E763" s="2"/>
    </row>
    <row r="764" ht="15.75" customHeight="1">
      <c r="A764" s="2"/>
      <c r="B764" s="2"/>
      <c r="C764" s="2"/>
      <c r="D764" s="2"/>
      <c r="E764" s="2"/>
    </row>
    <row r="765" ht="15.75" customHeight="1">
      <c r="A765" s="2"/>
      <c r="B765" s="2"/>
      <c r="C765" s="2"/>
      <c r="D765" s="2"/>
      <c r="E765" s="2"/>
    </row>
    <row r="766" ht="15.75" customHeight="1">
      <c r="A766" s="2"/>
      <c r="B766" s="2"/>
      <c r="C766" s="2"/>
      <c r="D766" s="2"/>
      <c r="E766" s="2"/>
    </row>
    <row r="767" ht="15.75" customHeight="1">
      <c r="A767" s="2"/>
      <c r="B767" s="2"/>
      <c r="C767" s="2"/>
      <c r="D767" s="2"/>
      <c r="E767" s="2"/>
    </row>
    <row r="768" ht="15.75" customHeight="1">
      <c r="A768" s="2"/>
      <c r="B768" s="2"/>
      <c r="C768" s="2"/>
      <c r="D768" s="2"/>
      <c r="E768" s="2"/>
    </row>
    <row r="769" ht="15.75" customHeight="1">
      <c r="A769" s="2"/>
      <c r="B769" s="2"/>
      <c r="C769" s="2"/>
      <c r="D769" s="2"/>
      <c r="E769" s="2"/>
    </row>
    <row r="770" ht="15.75" customHeight="1">
      <c r="A770" s="2"/>
      <c r="B770" s="2"/>
      <c r="C770" s="2"/>
      <c r="D770" s="2"/>
      <c r="E770" s="2"/>
    </row>
    <row r="771" ht="15.75" customHeight="1">
      <c r="A771" s="2"/>
      <c r="B771" s="2"/>
      <c r="C771" s="2"/>
      <c r="D771" s="2"/>
      <c r="E771" s="2"/>
    </row>
    <row r="772" ht="15.75" customHeight="1">
      <c r="A772" s="2"/>
      <c r="B772" s="2"/>
      <c r="C772" s="2"/>
      <c r="D772" s="2"/>
      <c r="E772" s="2"/>
    </row>
    <row r="773" ht="15.75" customHeight="1">
      <c r="A773" s="2"/>
      <c r="B773" s="2"/>
      <c r="C773" s="2"/>
      <c r="D773" s="2"/>
      <c r="E773" s="2"/>
    </row>
    <row r="774" ht="15.75" customHeight="1">
      <c r="A774" s="2"/>
      <c r="B774" s="2"/>
      <c r="C774" s="2"/>
      <c r="D774" s="2"/>
      <c r="E774" s="2"/>
    </row>
    <row r="775" ht="15.75" customHeight="1">
      <c r="A775" s="2"/>
      <c r="B775" s="2"/>
      <c r="C775" s="2"/>
      <c r="D775" s="2"/>
      <c r="E775" s="2"/>
    </row>
    <row r="776" ht="15.75" customHeight="1">
      <c r="A776" s="2"/>
      <c r="B776" s="2"/>
      <c r="C776" s="2"/>
      <c r="D776" s="2"/>
      <c r="E776" s="2"/>
    </row>
    <row r="777" ht="15.75" customHeight="1">
      <c r="A777" s="2"/>
      <c r="B777" s="2"/>
      <c r="C777" s="2"/>
      <c r="D777" s="2"/>
      <c r="E777" s="2"/>
    </row>
    <row r="778" ht="15.75" customHeight="1">
      <c r="A778" s="2"/>
      <c r="B778" s="2"/>
      <c r="C778" s="2"/>
      <c r="D778" s="2"/>
      <c r="E778" s="2"/>
    </row>
    <row r="779" ht="15.75" customHeight="1">
      <c r="A779" s="2"/>
      <c r="B779" s="2"/>
      <c r="C779" s="2"/>
      <c r="D779" s="2"/>
      <c r="E779" s="2"/>
    </row>
    <row r="780" ht="15.75" customHeight="1">
      <c r="A780" s="2"/>
      <c r="B780" s="2"/>
      <c r="C780" s="2"/>
      <c r="D780" s="2"/>
      <c r="E780" s="2"/>
    </row>
    <row r="781" ht="15.75" customHeight="1">
      <c r="A781" s="2"/>
      <c r="B781" s="2"/>
      <c r="C781" s="2"/>
      <c r="D781" s="2"/>
      <c r="E781" s="2"/>
    </row>
    <row r="782" ht="15.75" customHeight="1">
      <c r="A782" s="2"/>
      <c r="B782" s="2"/>
      <c r="C782" s="2"/>
      <c r="D782" s="2"/>
      <c r="E782" s="2"/>
    </row>
    <row r="783" ht="15.75" customHeight="1">
      <c r="A783" s="2"/>
      <c r="B783" s="2"/>
      <c r="C783" s="2"/>
      <c r="D783" s="2"/>
      <c r="E783" s="2"/>
    </row>
    <row r="784" ht="15.75" customHeight="1">
      <c r="A784" s="2"/>
      <c r="B784" s="2"/>
      <c r="C784" s="2"/>
      <c r="D784" s="2"/>
      <c r="E784" s="2"/>
    </row>
    <row r="785" ht="15.75" customHeight="1">
      <c r="A785" s="2"/>
      <c r="B785" s="2"/>
      <c r="C785" s="2"/>
      <c r="D785" s="2"/>
      <c r="E785" s="2"/>
    </row>
    <row r="786" ht="15.75" customHeight="1">
      <c r="A786" s="2"/>
      <c r="B786" s="2"/>
      <c r="C786" s="2"/>
      <c r="D786" s="2"/>
      <c r="E786" s="2"/>
    </row>
    <row r="787" ht="15.75" customHeight="1">
      <c r="A787" s="2"/>
      <c r="B787" s="2"/>
      <c r="C787" s="2"/>
      <c r="D787" s="2"/>
      <c r="E787" s="2"/>
    </row>
    <row r="788" ht="15.75" customHeight="1">
      <c r="A788" s="2"/>
      <c r="B788" s="2"/>
      <c r="C788" s="2"/>
      <c r="D788" s="2"/>
      <c r="E788" s="2"/>
    </row>
    <row r="789" ht="15.75" customHeight="1">
      <c r="A789" s="2"/>
      <c r="B789" s="2"/>
      <c r="C789" s="2"/>
      <c r="D789" s="2"/>
      <c r="E789" s="2"/>
    </row>
    <row r="790" ht="15.75" customHeight="1">
      <c r="A790" s="2"/>
      <c r="B790" s="2"/>
      <c r="C790" s="2"/>
      <c r="D790" s="2"/>
      <c r="E790" s="2"/>
    </row>
    <row r="791" ht="15.75" customHeight="1">
      <c r="A791" s="2"/>
      <c r="B791" s="2"/>
      <c r="C791" s="2"/>
      <c r="D791" s="2"/>
      <c r="E791" s="2"/>
    </row>
    <row r="792" ht="15.75" customHeight="1">
      <c r="A792" s="2"/>
      <c r="B792" s="2"/>
      <c r="C792" s="2"/>
      <c r="D792" s="2"/>
      <c r="E792" s="2"/>
    </row>
    <row r="793" ht="15.75" customHeight="1">
      <c r="A793" s="2"/>
      <c r="B793" s="2"/>
      <c r="C793" s="2"/>
      <c r="D793" s="2"/>
      <c r="E793" s="2"/>
    </row>
    <row r="794" ht="15.75" customHeight="1">
      <c r="A794" s="2"/>
      <c r="B794" s="2"/>
      <c r="C794" s="2"/>
      <c r="D794" s="2"/>
      <c r="E794" s="2"/>
    </row>
    <row r="795" ht="15.75" customHeight="1">
      <c r="A795" s="2"/>
      <c r="B795" s="2"/>
      <c r="C795" s="2"/>
      <c r="D795" s="2"/>
      <c r="E795" s="2"/>
    </row>
    <row r="796" ht="15.75" customHeight="1">
      <c r="A796" s="2"/>
      <c r="B796" s="2"/>
      <c r="C796" s="2"/>
      <c r="D796" s="2"/>
      <c r="E796" s="2"/>
    </row>
    <row r="797" ht="15.75" customHeight="1">
      <c r="A797" s="2"/>
      <c r="B797" s="2"/>
      <c r="C797" s="2"/>
      <c r="D797" s="2"/>
      <c r="E797" s="2"/>
    </row>
    <row r="798" ht="15.75" customHeight="1">
      <c r="A798" s="2"/>
      <c r="B798" s="2"/>
      <c r="C798" s="2"/>
      <c r="D798" s="2"/>
      <c r="E798" s="2"/>
    </row>
    <row r="799" ht="15.75" customHeight="1">
      <c r="A799" s="2"/>
      <c r="B799" s="2"/>
      <c r="C799" s="2"/>
      <c r="D799" s="2"/>
      <c r="E799" s="2"/>
    </row>
    <row r="800" ht="15.75" customHeight="1">
      <c r="A800" s="2"/>
      <c r="B800" s="2"/>
      <c r="C800" s="2"/>
      <c r="D800" s="2"/>
      <c r="E800" s="2"/>
    </row>
    <row r="801" ht="15.75" customHeight="1">
      <c r="A801" s="2"/>
      <c r="B801" s="2"/>
      <c r="C801" s="2"/>
      <c r="D801" s="2"/>
      <c r="E801" s="2"/>
    </row>
    <row r="802" ht="15.75" customHeight="1">
      <c r="A802" s="2"/>
      <c r="B802" s="2"/>
      <c r="C802" s="2"/>
      <c r="D802" s="2"/>
      <c r="E802" s="2"/>
    </row>
    <row r="803" ht="15.75" customHeight="1">
      <c r="A803" s="2"/>
      <c r="B803" s="2"/>
      <c r="C803" s="2"/>
      <c r="D803" s="2"/>
      <c r="E803" s="2"/>
    </row>
    <row r="804" ht="15.75" customHeight="1">
      <c r="A804" s="2"/>
      <c r="B804" s="2"/>
      <c r="C804" s="2"/>
      <c r="D804" s="2"/>
      <c r="E804" s="2"/>
    </row>
    <row r="805" ht="15.75" customHeight="1">
      <c r="A805" s="2"/>
      <c r="B805" s="2"/>
      <c r="C805" s="2"/>
      <c r="D805" s="2"/>
      <c r="E805" s="2"/>
    </row>
    <row r="806" ht="15.75" customHeight="1">
      <c r="A806" s="2"/>
      <c r="B806" s="2"/>
      <c r="C806" s="2"/>
      <c r="D806" s="2"/>
      <c r="E806" s="2"/>
    </row>
    <row r="807" ht="15.75" customHeight="1">
      <c r="A807" s="2"/>
      <c r="B807" s="2"/>
      <c r="C807" s="2"/>
      <c r="D807" s="2"/>
      <c r="E807" s="2"/>
    </row>
    <row r="808" ht="15.75" customHeight="1">
      <c r="A808" s="2"/>
      <c r="B808" s="2"/>
      <c r="C808" s="2"/>
      <c r="D808" s="2"/>
      <c r="E808" s="2"/>
    </row>
    <row r="809" ht="15.75" customHeight="1">
      <c r="A809" s="2"/>
      <c r="B809" s="2"/>
      <c r="C809" s="2"/>
      <c r="D809" s="2"/>
      <c r="E809" s="2"/>
    </row>
    <row r="810" ht="15.75" customHeight="1">
      <c r="A810" s="2"/>
      <c r="B810" s="2"/>
      <c r="C810" s="2"/>
      <c r="D810" s="2"/>
      <c r="E810" s="2"/>
    </row>
    <row r="811" ht="15.75" customHeight="1">
      <c r="A811" s="2"/>
      <c r="B811" s="2"/>
      <c r="C811" s="2"/>
      <c r="D811" s="2"/>
      <c r="E811" s="2"/>
    </row>
    <row r="812" ht="15.75" customHeight="1">
      <c r="A812" s="2"/>
      <c r="B812" s="2"/>
      <c r="C812" s="2"/>
      <c r="D812" s="2"/>
      <c r="E812" s="2"/>
    </row>
    <row r="813" ht="15.75" customHeight="1">
      <c r="A813" s="2"/>
      <c r="B813" s="2"/>
      <c r="C813" s="2"/>
      <c r="D813" s="2"/>
      <c r="E813" s="2"/>
    </row>
    <row r="814" ht="15.75" customHeight="1">
      <c r="A814" s="2"/>
      <c r="B814" s="2"/>
      <c r="C814" s="2"/>
      <c r="D814" s="2"/>
      <c r="E814" s="2"/>
    </row>
    <row r="815" ht="15.75" customHeight="1">
      <c r="A815" s="2"/>
      <c r="B815" s="2"/>
      <c r="C815" s="2"/>
      <c r="D815" s="2"/>
      <c r="E815" s="2"/>
    </row>
    <row r="816" ht="15.75" customHeight="1">
      <c r="A816" s="2"/>
      <c r="B816" s="2"/>
      <c r="C816" s="2"/>
      <c r="D816" s="2"/>
      <c r="E816" s="2"/>
    </row>
    <row r="817" ht="15.75" customHeight="1">
      <c r="A817" s="2"/>
      <c r="B817" s="2"/>
      <c r="C817" s="2"/>
      <c r="D817" s="2"/>
      <c r="E817" s="2"/>
    </row>
    <row r="818" ht="15.75" customHeight="1">
      <c r="A818" s="2"/>
      <c r="B818" s="2"/>
      <c r="C818" s="2"/>
      <c r="D818" s="2"/>
      <c r="E818" s="2"/>
    </row>
    <row r="819" ht="15.75" customHeight="1">
      <c r="A819" s="2"/>
      <c r="B819" s="2"/>
      <c r="C819" s="2"/>
      <c r="D819" s="2"/>
      <c r="E819" s="2"/>
    </row>
    <row r="820" ht="15.75" customHeight="1">
      <c r="A820" s="2"/>
      <c r="B820" s="2"/>
      <c r="C820" s="2"/>
      <c r="D820" s="2"/>
      <c r="E820" s="2"/>
    </row>
    <row r="821" ht="15.75" customHeight="1">
      <c r="A821" s="2"/>
      <c r="B821" s="2"/>
      <c r="C821" s="2"/>
      <c r="D821" s="2"/>
      <c r="E821" s="2"/>
    </row>
    <row r="822" ht="15.75" customHeight="1">
      <c r="A822" s="2"/>
      <c r="B822" s="2"/>
      <c r="C822" s="2"/>
      <c r="D822" s="2"/>
      <c r="E822" s="2"/>
    </row>
    <row r="823" ht="15.75" customHeight="1">
      <c r="A823" s="2"/>
      <c r="B823" s="2"/>
      <c r="C823" s="2"/>
      <c r="D823" s="2"/>
      <c r="E823" s="2"/>
    </row>
    <row r="824" ht="15.75" customHeight="1">
      <c r="A824" s="2"/>
      <c r="B824" s="2"/>
      <c r="C824" s="2"/>
      <c r="D824" s="2"/>
      <c r="E824" s="2"/>
    </row>
    <row r="825" ht="15.75" customHeight="1">
      <c r="A825" s="2"/>
      <c r="B825" s="2"/>
      <c r="C825" s="2"/>
      <c r="D825" s="2"/>
      <c r="E825" s="2"/>
    </row>
    <row r="826" ht="15.75" customHeight="1">
      <c r="A826" s="2"/>
      <c r="B826" s="2"/>
      <c r="C826" s="2"/>
      <c r="D826" s="2"/>
      <c r="E826" s="2"/>
    </row>
    <row r="827" ht="15.75" customHeight="1">
      <c r="A827" s="2"/>
      <c r="B827" s="2"/>
      <c r="C827" s="2"/>
      <c r="D827" s="2"/>
      <c r="E827" s="2"/>
    </row>
    <row r="828" ht="15.75" customHeight="1">
      <c r="A828" s="2"/>
      <c r="B828" s="2"/>
      <c r="C828" s="2"/>
      <c r="D828" s="2"/>
      <c r="E828" s="2"/>
    </row>
    <row r="829" ht="15.75" customHeight="1">
      <c r="A829" s="2"/>
      <c r="B829" s="2"/>
      <c r="C829" s="2"/>
      <c r="D829" s="2"/>
      <c r="E829" s="2"/>
    </row>
    <row r="830" ht="15.75" customHeight="1">
      <c r="A830" s="2"/>
      <c r="B830" s="2"/>
      <c r="C830" s="2"/>
      <c r="D830" s="2"/>
      <c r="E830" s="2"/>
    </row>
    <row r="831" ht="15.75" customHeight="1">
      <c r="A831" s="2"/>
      <c r="B831" s="2"/>
      <c r="C831" s="2"/>
      <c r="D831" s="2"/>
      <c r="E831" s="2"/>
    </row>
    <row r="832" ht="15.75" customHeight="1">
      <c r="A832" s="2"/>
      <c r="B832" s="2"/>
      <c r="C832" s="2"/>
      <c r="D832" s="2"/>
      <c r="E832" s="2"/>
    </row>
    <row r="833" ht="15.75" customHeight="1">
      <c r="A833" s="2"/>
      <c r="B833" s="2"/>
      <c r="C833" s="2"/>
      <c r="D833" s="2"/>
      <c r="E833" s="2"/>
    </row>
    <row r="834" ht="15.75" customHeight="1">
      <c r="A834" s="2"/>
      <c r="B834" s="2"/>
      <c r="C834" s="2"/>
      <c r="D834" s="2"/>
      <c r="E834" s="2"/>
    </row>
    <row r="835" ht="15.75" customHeight="1">
      <c r="A835" s="2"/>
      <c r="B835" s="2"/>
      <c r="C835" s="2"/>
      <c r="D835" s="2"/>
      <c r="E835" s="2"/>
    </row>
    <row r="836" ht="15.75" customHeight="1">
      <c r="A836" s="2"/>
      <c r="B836" s="2"/>
      <c r="C836" s="2"/>
      <c r="D836" s="2"/>
      <c r="E836" s="2"/>
    </row>
    <row r="837" ht="15.75" customHeight="1">
      <c r="A837" s="2"/>
      <c r="B837" s="2"/>
      <c r="C837" s="2"/>
      <c r="D837" s="2"/>
      <c r="E837" s="2"/>
    </row>
    <row r="838" ht="15.75" customHeight="1">
      <c r="A838" s="2"/>
      <c r="B838" s="2"/>
      <c r="C838" s="2"/>
      <c r="D838" s="2"/>
      <c r="E838" s="2"/>
    </row>
    <row r="839" ht="15.75" customHeight="1">
      <c r="A839" s="2"/>
      <c r="B839" s="2"/>
      <c r="C839" s="2"/>
      <c r="D839" s="2"/>
      <c r="E839" s="2"/>
    </row>
    <row r="840" ht="15.75" customHeight="1">
      <c r="A840" s="2"/>
      <c r="B840" s="2"/>
      <c r="C840" s="2"/>
      <c r="D840" s="2"/>
      <c r="E840" s="2"/>
    </row>
    <row r="841" ht="15.75" customHeight="1">
      <c r="A841" s="2"/>
      <c r="B841" s="2"/>
      <c r="C841" s="2"/>
      <c r="D841" s="2"/>
      <c r="E841" s="2"/>
    </row>
    <row r="842" ht="15.75" customHeight="1">
      <c r="A842" s="2"/>
      <c r="B842" s="2"/>
      <c r="C842" s="2"/>
      <c r="D842" s="2"/>
      <c r="E842" s="2"/>
    </row>
    <row r="843" ht="15.75" customHeight="1">
      <c r="A843" s="2"/>
      <c r="B843" s="2"/>
      <c r="C843" s="2"/>
      <c r="D843" s="2"/>
      <c r="E843" s="2"/>
    </row>
    <row r="844" ht="15.75" customHeight="1">
      <c r="A844" s="2"/>
      <c r="B844" s="2"/>
      <c r="C844" s="2"/>
      <c r="D844" s="2"/>
      <c r="E844" s="2"/>
    </row>
    <row r="845" ht="15.75" customHeight="1">
      <c r="A845" s="2"/>
      <c r="B845" s="2"/>
      <c r="C845" s="2"/>
      <c r="D845" s="2"/>
      <c r="E845" s="2"/>
    </row>
    <row r="846" ht="15.75" customHeight="1">
      <c r="A846" s="2"/>
      <c r="B846" s="2"/>
      <c r="C846" s="2"/>
      <c r="D846" s="2"/>
      <c r="E846" s="2"/>
    </row>
    <row r="847" ht="15.75" customHeight="1">
      <c r="A847" s="2"/>
      <c r="B847" s="2"/>
      <c r="C847" s="2"/>
      <c r="D847" s="2"/>
      <c r="E847" s="2"/>
    </row>
    <row r="848" ht="15.75" customHeight="1">
      <c r="A848" s="2"/>
      <c r="B848" s="2"/>
      <c r="C848" s="2"/>
      <c r="D848" s="2"/>
      <c r="E848" s="2"/>
    </row>
    <row r="849" ht="15.75" customHeight="1">
      <c r="A849" s="2"/>
      <c r="B849" s="2"/>
      <c r="C849" s="2"/>
      <c r="D849" s="2"/>
      <c r="E849" s="2"/>
    </row>
    <row r="850" ht="15.75" customHeight="1">
      <c r="A850" s="2"/>
      <c r="B850" s="2"/>
      <c r="C850" s="2"/>
      <c r="D850" s="2"/>
      <c r="E850" s="2"/>
    </row>
    <row r="851" ht="15.75" customHeight="1">
      <c r="A851" s="2"/>
      <c r="B851" s="2"/>
      <c r="C851" s="2"/>
      <c r="D851" s="2"/>
      <c r="E851" s="2"/>
    </row>
    <row r="852" ht="15.75" customHeight="1">
      <c r="A852" s="2"/>
      <c r="B852" s="2"/>
      <c r="C852" s="2"/>
      <c r="D852" s="2"/>
      <c r="E852" s="2"/>
    </row>
    <row r="853" ht="15.75" customHeight="1">
      <c r="A853" s="2"/>
      <c r="B853" s="2"/>
      <c r="C853" s="2"/>
      <c r="D853" s="2"/>
      <c r="E853" s="2"/>
    </row>
    <row r="854" ht="15.75" customHeight="1">
      <c r="A854" s="2"/>
      <c r="B854" s="2"/>
      <c r="C854" s="2"/>
      <c r="D854" s="2"/>
      <c r="E854" s="2"/>
    </row>
    <row r="855" ht="15.75" customHeight="1">
      <c r="A855" s="2"/>
      <c r="B855" s="2"/>
      <c r="C855" s="2"/>
      <c r="D855" s="2"/>
      <c r="E855" s="2"/>
    </row>
    <row r="856" ht="15.75" customHeight="1">
      <c r="A856" s="2"/>
      <c r="B856" s="2"/>
      <c r="C856" s="2"/>
      <c r="D856" s="2"/>
      <c r="E856" s="2"/>
    </row>
    <row r="857" ht="15.75" customHeight="1">
      <c r="A857" s="2"/>
      <c r="B857" s="2"/>
      <c r="C857" s="2"/>
      <c r="D857" s="2"/>
      <c r="E857" s="2"/>
    </row>
    <row r="858" ht="15.75" customHeight="1">
      <c r="A858" s="2"/>
      <c r="B858" s="2"/>
      <c r="C858" s="2"/>
      <c r="D858" s="2"/>
      <c r="E858" s="2"/>
    </row>
    <row r="859" ht="15.75" customHeight="1">
      <c r="A859" s="2"/>
      <c r="B859" s="2"/>
      <c r="C859" s="2"/>
      <c r="D859" s="2"/>
      <c r="E859" s="2"/>
    </row>
    <row r="860" ht="15.75" customHeight="1">
      <c r="A860" s="2"/>
      <c r="B860" s="2"/>
      <c r="C860" s="2"/>
      <c r="D860" s="2"/>
      <c r="E860" s="2"/>
    </row>
    <row r="861" ht="15.75" customHeight="1">
      <c r="A861" s="2"/>
      <c r="B861" s="2"/>
      <c r="C861" s="2"/>
      <c r="D861" s="2"/>
      <c r="E861" s="2"/>
    </row>
    <row r="862" ht="15.75" customHeight="1">
      <c r="A862" s="2"/>
      <c r="B862" s="2"/>
      <c r="C862" s="2"/>
      <c r="D862" s="2"/>
      <c r="E862" s="2"/>
    </row>
    <row r="863" ht="15.75" customHeight="1">
      <c r="A863" s="2"/>
      <c r="B863" s="2"/>
      <c r="C863" s="2"/>
      <c r="D863" s="2"/>
      <c r="E863" s="2"/>
    </row>
    <row r="864" ht="15.75" customHeight="1">
      <c r="A864" s="2"/>
      <c r="B864" s="2"/>
      <c r="C864" s="2"/>
      <c r="D864" s="2"/>
      <c r="E864" s="2"/>
    </row>
    <row r="865" ht="15.75" customHeight="1">
      <c r="A865" s="2"/>
      <c r="B865" s="2"/>
      <c r="C865" s="2"/>
      <c r="D865" s="2"/>
      <c r="E865" s="2"/>
    </row>
    <row r="866" ht="15.75" customHeight="1">
      <c r="A866" s="2"/>
      <c r="B866" s="2"/>
      <c r="C866" s="2"/>
      <c r="D866" s="2"/>
      <c r="E866" s="2"/>
    </row>
    <row r="867" ht="15.75" customHeight="1">
      <c r="A867" s="2"/>
      <c r="B867" s="2"/>
      <c r="C867" s="2"/>
      <c r="D867" s="2"/>
      <c r="E867" s="2"/>
    </row>
    <row r="868" ht="15.75" customHeight="1">
      <c r="A868" s="2"/>
      <c r="B868" s="2"/>
      <c r="C868" s="2"/>
      <c r="D868" s="2"/>
      <c r="E868" s="2"/>
    </row>
    <row r="869" ht="15.75" customHeight="1">
      <c r="A869" s="2"/>
      <c r="B869" s="2"/>
      <c r="C869" s="2"/>
      <c r="D869" s="2"/>
      <c r="E869" s="2"/>
    </row>
    <row r="870" ht="15.75" customHeight="1">
      <c r="A870" s="2"/>
      <c r="B870" s="2"/>
      <c r="C870" s="2"/>
      <c r="D870" s="2"/>
      <c r="E870" s="2"/>
    </row>
    <row r="871" ht="15.75" customHeight="1">
      <c r="A871" s="2"/>
      <c r="B871" s="2"/>
      <c r="C871" s="2"/>
      <c r="D871" s="2"/>
      <c r="E871" s="2"/>
    </row>
    <row r="872" ht="15.75" customHeight="1">
      <c r="A872" s="2"/>
      <c r="B872" s="2"/>
      <c r="C872" s="2"/>
      <c r="D872" s="2"/>
      <c r="E872" s="2"/>
    </row>
    <row r="873" ht="15.75" customHeight="1">
      <c r="A873" s="2"/>
      <c r="B873" s="2"/>
      <c r="C873" s="2"/>
      <c r="D873" s="2"/>
      <c r="E873" s="2"/>
    </row>
    <row r="874" ht="15.75" customHeight="1">
      <c r="A874" s="2"/>
      <c r="B874" s="2"/>
      <c r="C874" s="2"/>
      <c r="D874" s="2"/>
      <c r="E874" s="2"/>
    </row>
    <row r="875" ht="15.75" customHeight="1">
      <c r="A875" s="2"/>
      <c r="B875" s="2"/>
      <c r="C875" s="2"/>
      <c r="D875" s="2"/>
      <c r="E875" s="2"/>
    </row>
    <row r="876" ht="15.75" customHeight="1">
      <c r="A876" s="2"/>
      <c r="B876" s="2"/>
      <c r="C876" s="2"/>
      <c r="D876" s="2"/>
      <c r="E876" s="2"/>
    </row>
    <row r="877" ht="15.75" customHeight="1">
      <c r="A877" s="2"/>
      <c r="B877" s="2"/>
      <c r="C877" s="2"/>
      <c r="D877" s="2"/>
      <c r="E877" s="2"/>
    </row>
    <row r="878" ht="15.75" customHeight="1">
      <c r="A878" s="2"/>
      <c r="B878" s="2"/>
      <c r="C878" s="2"/>
      <c r="D878" s="2"/>
      <c r="E878" s="2"/>
    </row>
    <row r="879" ht="15.75" customHeight="1">
      <c r="A879" s="2"/>
      <c r="B879" s="2"/>
      <c r="C879" s="2"/>
      <c r="D879" s="2"/>
      <c r="E879" s="2"/>
    </row>
    <row r="880" ht="15.75" customHeight="1">
      <c r="A880" s="2"/>
      <c r="B880" s="2"/>
      <c r="C880" s="2"/>
      <c r="D880" s="2"/>
      <c r="E880" s="2"/>
    </row>
    <row r="881" ht="15.75" customHeight="1">
      <c r="A881" s="2"/>
      <c r="B881" s="2"/>
      <c r="C881" s="2"/>
      <c r="D881" s="2"/>
      <c r="E881" s="2"/>
    </row>
    <row r="882" ht="15.75" customHeight="1">
      <c r="A882" s="2"/>
      <c r="B882" s="2"/>
      <c r="C882" s="2"/>
      <c r="D882" s="2"/>
      <c r="E882" s="2"/>
    </row>
    <row r="883" ht="15.75" customHeight="1">
      <c r="A883" s="2"/>
      <c r="B883" s="2"/>
      <c r="C883" s="2"/>
      <c r="D883" s="2"/>
      <c r="E883" s="2"/>
    </row>
    <row r="884" ht="15.75" customHeight="1">
      <c r="A884" s="2"/>
      <c r="B884" s="2"/>
      <c r="C884" s="2"/>
      <c r="D884" s="2"/>
      <c r="E884" s="2"/>
    </row>
    <row r="885" ht="15.75" customHeight="1">
      <c r="A885" s="2"/>
      <c r="B885" s="2"/>
      <c r="C885" s="2"/>
      <c r="D885" s="2"/>
      <c r="E885" s="2"/>
    </row>
    <row r="886" ht="15.75" customHeight="1">
      <c r="A886" s="2"/>
      <c r="B886" s="2"/>
      <c r="C886" s="2"/>
      <c r="D886" s="2"/>
      <c r="E886" s="2"/>
    </row>
    <row r="887" ht="15.75" customHeight="1">
      <c r="A887" s="2"/>
      <c r="B887" s="2"/>
      <c r="C887" s="2"/>
      <c r="D887" s="2"/>
      <c r="E887" s="2"/>
    </row>
    <row r="888" ht="15.75" customHeight="1">
      <c r="A888" s="2"/>
      <c r="B888" s="2"/>
      <c r="C888" s="2"/>
      <c r="D888" s="2"/>
      <c r="E888" s="2"/>
    </row>
    <row r="889" ht="15.75" customHeight="1">
      <c r="A889" s="2"/>
      <c r="B889" s="2"/>
      <c r="C889" s="2"/>
      <c r="D889" s="2"/>
      <c r="E889" s="2"/>
    </row>
    <row r="890" ht="15.75" customHeight="1">
      <c r="A890" s="2"/>
      <c r="B890" s="2"/>
      <c r="C890" s="2"/>
      <c r="D890" s="2"/>
      <c r="E890" s="2"/>
    </row>
    <row r="891" ht="15.75" customHeight="1">
      <c r="A891" s="2"/>
      <c r="B891" s="2"/>
      <c r="C891" s="2"/>
      <c r="D891" s="2"/>
      <c r="E891" s="2"/>
    </row>
    <row r="892" ht="15.75" customHeight="1">
      <c r="A892" s="2"/>
      <c r="B892" s="2"/>
      <c r="C892" s="2"/>
      <c r="D892" s="2"/>
      <c r="E892" s="2"/>
    </row>
    <row r="893" ht="15.75" customHeight="1">
      <c r="A893" s="2"/>
      <c r="B893" s="2"/>
      <c r="C893" s="2"/>
      <c r="D893" s="2"/>
      <c r="E893" s="2"/>
    </row>
    <row r="894" ht="15.75" customHeight="1">
      <c r="A894" s="2"/>
      <c r="B894" s="2"/>
      <c r="C894" s="2"/>
      <c r="D894" s="2"/>
      <c r="E894" s="2"/>
    </row>
    <row r="895" ht="15.75" customHeight="1">
      <c r="A895" s="2"/>
      <c r="B895" s="2"/>
      <c r="C895" s="2"/>
      <c r="D895" s="2"/>
      <c r="E895" s="2"/>
    </row>
    <row r="896" ht="15.75" customHeight="1">
      <c r="A896" s="2"/>
      <c r="B896" s="2"/>
      <c r="C896" s="2"/>
      <c r="D896" s="2"/>
      <c r="E896" s="2"/>
    </row>
    <row r="897" ht="15.75" customHeight="1">
      <c r="A897" s="2"/>
      <c r="B897" s="2"/>
      <c r="C897" s="2"/>
      <c r="D897" s="2"/>
      <c r="E897" s="2"/>
    </row>
    <row r="898" ht="15.75" customHeight="1">
      <c r="A898" s="2"/>
      <c r="B898" s="2"/>
      <c r="C898" s="2"/>
      <c r="D898" s="2"/>
      <c r="E898" s="2"/>
    </row>
    <row r="899" ht="15.75" customHeight="1">
      <c r="A899" s="2"/>
      <c r="B899" s="2"/>
      <c r="C899" s="2"/>
      <c r="D899" s="2"/>
      <c r="E899" s="2"/>
    </row>
    <row r="900" ht="15.75" customHeight="1">
      <c r="A900" s="2"/>
      <c r="B900" s="2"/>
      <c r="C900" s="2"/>
      <c r="D900" s="2"/>
      <c r="E900" s="2"/>
    </row>
    <row r="901" ht="15.75" customHeight="1">
      <c r="A901" s="2"/>
      <c r="B901" s="2"/>
      <c r="C901" s="2"/>
      <c r="D901" s="2"/>
      <c r="E901" s="2"/>
    </row>
    <row r="902" ht="15.75" customHeight="1">
      <c r="A902" s="2"/>
      <c r="B902" s="2"/>
      <c r="C902" s="2"/>
      <c r="D902" s="2"/>
      <c r="E902" s="2"/>
    </row>
    <row r="903" ht="15.75" customHeight="1">
      <c r="A903" s="2"/>
      <c r="B903" s="2"/>
      <c r="C903" s="2"/>
      <c r="D903" s="2"/>
      <c r="E903" s="2"/>
    </row>
    <row r="904" ht="15.75" customHeight="1">
      <c r="A904" s="2"/>
      <c r="B904" s="2"/>
      <c r="C904" s="2"/>
      <c r="D904" s="2"/>
      <c r="E904" s="2"/>
    </row>
    <row r="905" ht="15.75" customHeight="1">
      <c r="A905" s="2"/>
      <c r="B905" s="2"/>
      <c r="C905" s="2"/>
      <c r="D905" s="2"/>
      <c r="E905" s="2"/>
    </row>
    <row r="906" ht="15.75" customHeight="1">
      <c r="A906" s="2"/>
      <c r="B906" s="2"/>
      <c r="C906" s="2"/>
      <c r="D906" s="2"/>
      <c r="E906" s="2"/>
    </row>
    <row r="907" ht="15.75" customHeight="1">
      <c r="A907" s="2"/>
      <c r="B907" s="2"/>
      <c r="C907" s="2"/>
      <c r="D907" s="2"/>
      <c r="E907" s="2"/>
    </row>
    <row r="908" ht="15.75" customHeight="1">
      <c r="A908" s="2"/>
      <c r="B908" s="2"/>
      <c r="C908" s="2"/>
      <c r="D908" s="2"/>
      <c r="E908" s="2"/>
    </row>
    <row r="909" ht="15.75" customHeight="1">
      <c r="A909" s="2"/>
      <c r="B909" s="2"/>
      <c r="C909" s="2"/>
      <c r="D909" s="2"/>
      <c r="E909" s="2"/>
    </row>
    <row r="910" ht="15.75" customHeight="1">
      <c r="A910" s="2"/>
      <c r="B910" s="2"/>
      <c r="C910" s="2"/>
      <c r="D910" s="2"/>
      <c r="E910" s="2"/>
    </row>
    <row r="911" ht="15.75" customHeight="1">
      <c r="A911" s="2"/>
      <c r="B911" s="2"/>
      <c r="C911" s="2"/>
      <c r="D911" s="2"/>
      <c r="E911" s="2"/>
    </row>
    <row r="912" ht="15.75" customHeight="1">
      <c r="A912" s="2"/>
      <c r="B912" s="2"/>
      <c r="C912" s="2"/>
      <c r="D912" s="2"/>
      <c r="E912" s="2"/>
    </row>
    <row r="913" ht="15.75" customHeight="1">
      <c r="A913" s="2"/>
      <c r="B913" s="2"/>
      <c r="C913" s="2"/>
      <c r="D913" s="2"/>
      <c r="E913" s="2"/>
    </row>
    <row r="914" ht="15.75" customHeight="1">
      <c r="A914" s="2"/>
      <c r="B914" s="2"/>
      <c r="C914" s="2"/>
      <c r="D914" s="2"/>
      <c r="E914" s="2"/>
    </row>
    <row r="915" ht="15.75" customHeight="1">
      <c r="A915" s="2"/>
      <c r="B915" s="2"/>
      <c r="C915" s="2"/>
      <c r="D915" s="2"/>
      <c r="E915" s="2"/>
    </row>
    <row r="916" ht="15.75" customHeight="1">
      <c r="A916" s="2"/>
      <c r="B916" s="2"/>
      <c r="C916" s="2"/>
      <c r="D916" s="2"/>
      <c r="E916" s="2"/>
    </row>
    <row r="917" ht="15.75" customHeight="1">
      <c r="A917" s="2"/>
      <c r="B917" s="2"/>
      <c r="C917" s="2"/>
      <c r="D917" s="2"/>
      <c r="E917" s="2"/>
    </row>
    <row r="918" ht="15.75" customHeight="1">
      <c r="A918" s="2"/>
      <c r="B918" s="2"/>
      <c r="C918" s="2"/>
      <c r="D918" s="2"/>
      <c r="E918" s="2"/>
    </row>
    <row r="919" ht="15.75" customHeight="1">
      <c r="A919" s="2"/>
      <c r="B919" s="2"/>
      <c r="C919" s="2"/>
      <c r="D919" s="2"/>
      <c r="E919" s="2"/>
    </row>
    <row r="920" ht="15.75" customHeight="1">
      <c r="A920" s="2"/>
      <c r="B920" s="2"/>
      <c r="C920" s="2"/>
      <c r="D920" s="2"/>
      <c r="E920" s="2"/>
    </row>
    <row r="921" ht="15.75" customHeight="1">
      <c r="A921" s="2"/>
      <c r="B921" s="2"/>
      <c r="C921" s="2"/>
      <c r="D921" s="2"/>
      <c r="E921" s="2"/>
    </row>
    <row r="922" ht="15.75" customHeight="1">
      <c r="A922" s="2"/>
      <c r="B922" s="2"/>
      <c r="C922" s="2"/>
      <c r="D922" s="2"/>
      <c r="E922" s="2"/>
    </row>
    <row r="923" ht="15.75" customHeight="1">
      <c r="A923" s="2"/>
      <c r="B923" s="2"/>
      <c r="C923" s="2"/>
      <c r="D923" s="2"/>
      <c r="E923" s="2"/>
    </row>
    <row r="924" ht="15.75" customHeight="1">
      <c r="A924" s="2"/>
      <c r="B924" s="2"/>
      <c r="C924" s="2"/>
      <c r="D924" s="2"/>
      <c r="E924" s="2"/>
    </row>
    <row r="925" ht="15.75" customHeight="1">
      <c r="A925" s="2"/>
      <c r="B925" s="2"/>
      <c r="C925" s="2"/>
      <c r="D925" s="2"/>
      <c r="E925" s="2"/>
    </row>
    <row r="926" ht="15.75" customHeight="1">
      <c r="A926" s="2"/>
      <c r="B926" s="2"/>
      <c r="C926" s="2"/>
      <c r="D926" s="2"/>
      <c r="E926" s="2"/>
    </row>
    <row r="927" ht="15.75" customHeight="1">
      <c r="A927" s="2"/>
      <c r="B927" s="2"/>
      <c r="C927" s="2"/>
      <c r="D927" s="2"/>
      <c r="E927" s="2"/>
    </row>
    <row r="928" ht="15.75" customHeight="1">
      <c r="A928" s="2"/>
      <c r="B928" s="2"/>
      <c r="C928" s="2"/>
      <c r="D928" s="2"/>
      <c r="E928" s="2"/>
    </row>
    <row r="929" ht="15.75" customHeight="1">
      <c r="A929" s="2"/>
      <c r="B929" s="2"/>
      <c r="C929" s="2"/>
      <c r="D929" s="2"/>
      <c r="E929" s="2"/>
    </row>
    <row r="930" ht="15.75" customHeight="1">
      <c r="A930" s="2"/>
      <c r="B930" s="2"/>
      <c r="C930" s="2"/>
      <c r="D930" s="2"/>
      <c r="E930" s="2"/>
    </row>
    <row r="931" ht="15.75" customHeight="1">
      <c r="A931" s="2"/>
      <c r="B931" s="2"/>
      <c r="C931" s="2"/>
      <c r="D931" s="2"/>
      <c r="E931" s="2"/>
    </row>
    <row r="932" ht="15.75" customHeight="1">
      <c r="A932" s="2"/>
      <c r="B932" s="2"/>
      <c r="C932" s="2"/>
      <c r="D932" s="2"/>
      <c r="E932" s="2"/>
    </row>
    <row r="933" ht="15.75" customHeight="1">
      <c r="A933" s="2"/>
      <c r="B933" s="2"/>
      <c r="C933" s="2"/>
      <c r="D933" s="2"/>
      <c r="E933" s="2"/>
    </row>
    <row r="934" ht="15.75" customHeight="1">
      <c r="A934" s="2"/>
      <c r="B934" s="2"/>
      <c r="C934" s="2"/>
      <c r="D934" s="2"/>
      <c r="E934" s="2"/>
    </row>
    <row r="935" ht="15.75" customHeight="1">
      <c r="A935" s="2"/>
      <c r="B935" s="2"/>
      <c r="C935" s="2"/>
      <c r="D935" s="2"/>
      <c r="E935" s="2"/>
    </row>
    <row r="936" ht="15.75" customHeight="1">
      <c r="A936" s="2"/>
      <c r="B936" s="2"/>
      <c r="C936" s="2"/>
      <c r="D936" s="2"/>
      <c r="E936" s="2"/>
    </row>
    <row r="937" ht="15.75" customHeight="1">
      <c r="A937" s="2"/>
      <c r="B937" s="2"/>
      <c r="C937" s="2"/>
      <c r="D937" s="2"/>
      <c r="E937" s="2"/>
    </row>
    <row r="938" ht="15.75" customHeight="1">
      <c r="A938" s="2"/>
      <c r="B938" s="2"/>
      <c r="C938" s="2"/>
      <c r="D938" s="2"/>
      <c r="E938" s="2"/>
    </row>
    <row r="939" ht="15.75" customHeight="1">
      <c r="A939" s="2"/>
      <c r="B939" s="2"/>
      <c r="C939" s="2"/>
      <c r="D939" s="2"/>
      <c r="E939" s="2"/>
    </row>
    <row r="940" ht="15.75" customHeight="1">
      <c r="A940" s="2"/>
      <c r="B940" s="2"/>
      <c r="C940" s="2"/>
      <c r="D940" s="2"/>
      <c r="E940" s="2"/>
    </row>
    <row r="941" ht="15.75" customHeight="1">
      <c r="A941" s="2"/>
      <c r="B941" s="2"/>
      <c r="C941" s="2"/>
      <c r="D941" s="2"/>
      <c r="E941" s="2"/>
    </row>
    <row r="942" ht="15.75" customHeight="1">
      <c r="A942" s="2"/>
      <c r="B942" s="2"/>
      <c r="C942" s="2"/>
      <c r="D942" s="2"/>
      <c r="E942" s="2"/>
    </row>
    <row r="943" ht="15.75" customHeight="1">
      <c r="A943" s="2"/>
      <c r="B943" s="2"/>
      <c r="C943" s="2"/>
      <c r="D943" s="2"/>
      <c r="E943" s="2"/>
    </row>
    <row r="944" ht="15.75" customHeight="1">
      <c r="A944" s="2"/>
      <c r="B944" s="2"/>
      <c r="C944" s="2"/>
      <c r="D944" s="2"/>
      <c r="E944" s="2"/>
    </row>
    <row r="945" ht="15.75" customHeight="1">
      <c r="A945" s="2"/>
      <c r="B945" s="2"/>
      <c r="C945" s="2"/>
      <c r="D945" s="2"/>
      <c r="E945" s="2"/>
    </row>
    <row r="946" ht="15.75" customHeight="1">
      <c r="A946" s="2"/>
      <c r="B946" s="2"/>
      <c r="C946" s="2"/>
      <c r="D946" s="2"/>
      <c r="E946" s="2"/>
    </row>
    <row r="947" ht="15.75" customHeight="1">
      <c r="A947" s="2"/>
      <c r="B947" s="2"/>
      <c r="C947" s="2"/>
      <c r="D947" s="2"/>
      <c r="E947" s="2"/>
    </row>
    <row r="948" ht="15.75" customHeight="1">
      <c r="A948" s="2"/>
      <c r="B948" s="2"/>
      <c r="C948" s="2"/>
      <c r="D948" s="2"/>
      <c r="E948" s="2"/>
    </row>
    <row r="949" ht="15.75" customHeight="1">
      <c r="A949" s="2"/>
      <c r="B949" s="2"/>
      <c r="C949" s="2"/>
      <c r="D949" s="2"/>
      <c r="E949" s="2"/>
    </row>
    <row r="950" ht="15.75" customHeight="1">
      <c r="A950" s="2"/>
      <c r="B950" s="2"/>
      <c r="C950" s="2"/>
      <c r="D950" s="2"/>
      <c r="E950" s="2"/>
    </row>
    <row r="951" ht="15.75" customHeight="1">
      <c r="A951" s="2"/>
      <c r="B951" s="2"/>
      <c r="C951" s="2"/>
      <c r="D951" s="2"/>
      <c r="E951" s="2"/>
    </row>
    <row r="952" ht="15.75" customHeight="1">
      <c r="A952" s="2"/>
      <c r="B952" s="2"/>
      <c r="C952" s="2"/>
      <c r="D952" s="2"/>
      <c r="E952" s="2"/>
    </row>
    <row r="953" ht="15.75" customHeight="1">
      <c r="A953" s="2"/>
      <c r="B953" s="2"/>
      <c r="C953" s="2"/>
      <c r="D953" s="2"/>
      <c r="E953" s="2"/>
    </row>
    <row r="954" ht="15.75" customHeight="1">
      <c r="A954" s="2"/>
      <c r="B954" s="2"/>
      <c r="C954" s="2"/>
      <c r="D954" s="2"/>
      <c r="E954" s="2"/>
    </row>
    <row r="955" ht="15.75" customHeight="1">
      <c r="A955" s="2"/>
      <c r="B955" s="2"/>
      <c r="C955" s="2"/>
      <c r="D955" s="2"/>
      <c r="E955" s="2"/>
    </row>
    <row r="956" ht="15.75" customHeight="1">
      <c r="A956" s="2"/>
      <c r="B956" s="2"/>
      <c r="C956" s="2"/>
      <c r="D956" s="2"/>
      <c r="E956" s="2"/>
    </row>
    <row r="957" ht="15.75" customHeight="1">
      <c r="A957" s="2"/>
      <c r="B957" s="2"/>
      <c r="C957" s="2"/>
      <c r="D957" s="2"/>
      <c r="E957" s="2"/>
    </row>
    <row r="958" ht="15.75" customHeight="1">
      <c r="A958" s="2"/>
      <c r="B958" s="2"/>
      <c r="C958" s="2"/>
      <c r="D958" s="2"/>
      <c r="E958" s="2"/>
    </row>
    <row r="959" ht="15.75" customHeight="1">
      <c r="A959" s="2"/>
      <c r="B959" s="2"/>
      <c r="C959" s="2"/>
      <c r="D959" s="2"/>
      <c r="E959" s="2"/>
    </row>
    <row r="960" ht="15.75" customHeight="1">
      <c r="A960" s="2"/>
      <c r="B960" s="2"/>
      <c r="C960" s="2"/>
      <c r="D960" s="2"/>
      <c r="E960" s="2"/>
    </row>
    <row r="961" ht="15.75" customHeight="1">
      <c r="A961" s="2"/>
      <c r="B961" s="2"/>
      <c r="C961" s="2"/>
      <c r="D961" s="2"/>
      <c r="E961" s="2"/>
    </row>
    <row r="962" ht="15.75" customHeight="1">
      <c r="A962" s="2"/>
      <c r="B962" s="2"/>
      <c r="C962" s="2"/>
      <c r="D962" s="2"/>
      <c r="E962" s="2"/>
    </row>
    <row r="963" ht="15.75" customHeight="1">
      <c r="A963" s="2"/>
      <c r="B963" s="2"/>
      <c r="C963" s="2"/>
      <c r="D963" s="2"/>
      <c r="E963" s="2"/>
    </row>
    <row r="964" ht="15.75" customHeight="1">
      <c r="A964" s="2"/>
      <c r="B964" s="2"/>
      <c r="C964" s="2"/>
      <c r="D964" s="2"/>
      <c r="E964" s="2"/>
    </row>
    <row r="965" ht="15.75" customHeight="1">
      <c r="A965" s="2"/>
      <c r="B965" s="2"/>
      <c r="C965" s="2"/>
      <c r="D965" s="2"/>
      <c r="E965" s="2"/>
    </row>
    <row r="966" ht="15.75" customHeight="1">
      <c r="A966" s="2"/>
      <c r="B966" s="2"/>
      <c r="C966" s="2"/>
      <c r="D966" s="2"/>
      <c r="E966" s="2"/>
    </row>
    <row r="967" ht="15.75" customHeight="1">
      <c r="A967" s="2"/>
      <c r="B967" s="2"/>
      <c r="C967" s="2"/>
      <c r="D967" s="2"/>
      <c r="E967" s="2"/>
    </row>
    <row r="968" ht="15.75" customHeight="1">
      <c r="A968" s="2"/>
      <c r="B968" s="2"/>
      <c r="C968" s="2"/>
      <c r="D968" s="2"/>
      <c r="E968" s="2"/>
    </row>
    <row r="969" ht="15.75" customHeight="1">
      <c r="A969" s="2"/>
      <c r="B969" s="2"/>
      <c r="C969" s="2"/>
      <c r="D969" s="2"/>
      <c r="E969" s="2"/>
    </row>
    <row r="970" ht="15.75" customHeight="1">
      <c r="A970" s="2"/>
      <c r="B970" s="2"/>
      <c r="C970" s="2"/>
      <c r="D970" s="2"/>
      <c r="E970" s="2"/>
    </row>
    <row r="971" ht="15.75" customHeight="1">
      <c r="A971" s="2"/>
      <c r="B971" s="2"/>
      <c r="C971" s="2"/>
      <c r="D971" s="2"/>
      <c r="E971" s="2"/>
    </row>
    <row r="972" ht="15.75" customHeight="1">
      <c r="A972" s="2"/>
      <c r="B972" s="2"/>
      <c r="C972" s="2"/>
      <c r="D972" s="2"/>
      <c r="E972" s="2"/>
    </row>
    <row r="973" ht="15.75" customHeight="1">
      <c r="A973" s="2"/>
      <c r="B973" s="2"/>
      <c r="C973" s="2"/>
      <c r="D973" s="2"/>
      <c r="E973" s="2"/>
    </row>
    <row r="974" ht="15.75" customHeight="1">
      <c r="A974" s="2"/>
      <c r="B974" s="2"/>
      <c r="C974" s="2"/>
      <c r="D974" s="2"/>
      <c r="E974" s="2"/>
    </row>
    <row r="975" ht="15.75" customHeight="1">
      <c r="A975" s="2"/>
      <c r="B975" s="2"/>
      <c r="C975" s="2"/>
      <c r="D975" s="2"/>
      <c r="E975" s="2"/>
    </row>
    <row r="976" ht="15.75" customHeight="1">
      <c r="A976" s="2"/>
      <c r="B976" s="2"/>
      <c r="C976" s="2"/>
      <c r="D976" s="2"/>
      <c r="E976" s="2"/>
    </row>
    <row r="977" ht="15.75" customHeight="1">
      <c r="A977" s="2"/>
      <c r="B977" s="2"/>
      <c r="C977" s="2"/>
      <c r="D977" s="2"/>
      <c r="E977" s="2"/>
    </row>
    <row r="978" ht="15.75" customHeight="1">
      <c r="A978" s="2"/>
      <c r="B978" s="2"/>
      <c r="C978" s="2"/>
      <c r="D978" s="2"/>
      <c r="E978" s="2"/>
    </row>
    <row r="979" ht="15.75" customHeight="1">
      <c r="A979" s="2"/>
      <c r="B979" s="2"/>
      <c r="C979" s="2"/>
      <c r="D979" s="2"/>
      <c r="E979" s="2"/>
    </row>
    <row r="980" ht="15.75" customHeight="1">
      <c r="A980" s="2"/>
      <c r="B980" s="2"/>
      <c r="C980" s="2"/>
      <c r="D980" s="2"/>
      <c r="E980" s="2"/>
    </row>
    <row r="981" ht="15.75" customHeight="1">
      <c r="A981" s="2"/>
      <c r="B981" s="2"/>
      <c r="C981" s="2"/>
      <c r="D981" s="2"/>
      <c r="E981" s="2"/>
    </row>
    <row r="982" ht="15.75" customHeight="1">
      <c r="A982" s="2"/>
      <c r="B982" s="2"/>
      <c r="C982" s="2"/>
      <c r="D982" s="2"/>
      <c r="E982" s="2"/>
    </row>
    <row r="983" ht="15.75" customHeight="1">
      <c r="A983" s="2"/>
      <c r="B983" s="2"/>
      <c r="C983" s="2"/>
      <c r="D983" s="2"/>
      <c r="E983" s="2"/>
    </row>
    <row r="984" ht="15.75" customHeight="1">
      <c r="A984" s="2"/>
      <c r="B984" s="2"/>
      <c r="C984" s="2"/>
      <c r="D984" s="2"/>
      <c r="E984" s="2"/>
    </row>
    <row r="985" ht="15.75" customHeight="1">
      <c r="A985" s="2"/>
      <c r="B985" s="2"/>
      <c r="C985" s="2"/>
      <c r="D985" s="2"/>
      <c r="E985" s="2"/>
    </row>
    <row r="986" ht="15.75" customHeight="1">
      <c r="A986" s="2"/>
      <c r="B986" s="2"/>
      <c r="C986" s="2"/>
      <c r="D986" s="2"/>
      <c r="E986" s="2"/>
    </row>
    <row r="987" ht="15.75" customHeight="1">
      <c r="A987" s="2"/>
      <c r="B987" s="2"/>
      <c r="C987" s="2"/>
      <c r="D987" s="2"/>
      <c r="E987" s="2"/>
    </row>
    <row r="988" ht="15.75" customHeight="1">
      <c r="A988" s="2"/>
      <c r="B988" s="2"/>
      <c r="C988" s="2"/>
      <c r="D988" s="2"/>
      <c r="E988" s="2"/>
    </row>
    <row r="989" ht="15.75" customHeight="1">
      <c r="A989" s="2"/>
      <c r="B989" s="2"/>
      <c r="C989" s="2"/>
      <c r="D989" s="2"/>
      <c r="E989" s="2"/>
    </row>
    <row r="990" ht="15.75" customHeight="1">
      <c r="A990" s="2"/>
      <c r="B990" s="2"/>
      <c r="C990" s="2"/>
      <c r="D990" s="2"/>
      <c r="E990" s="2"/>
    </row>
    <row r="991" ht="15.75" customHeight="1">
      <c r="A991" s="2"/>
      <c r="B991" s="2"/>
      <c r="C991" s="2"/>
      <c r="D991" s="2"/>
      <c r="E991" s="2"/>
    </row>
    <row r="992" ht="15.75" customHeight="1">
      <c r="A992" s="2"/>
      <c r="B992" s="2"/>
      <c r="C992" s="2"/>
      <c r="D992" s="2"/>
      <c r="E992" s="2"/>
    </row>
    <row r="993" ht="15.75" customHeight="1">
      <c r="A993" s="2"/>
      <c r="B993" s="2"/>
      <c r="C993" s="2"/>
      <c r="D993" s="2"/>
      <c r="E993" s="2"/>
    </row>
    <row r="994" ht="15.75" customHeight="1">
      <c r="A994" s="2"/>
      <c r="B994" s="2"/>
      <c r="C994" s="2"/>
      <c r="D994" s="2"/>
      <c r="E994" s="2"/>
    </row>
    <row r="995" ht="15.75" customHeight="1">
      <c r="A995" s="2"/>
      <c r="B995" s="2"/>
      <c r="C995" s="2"/>
      <c r="D995" s="2"/>
      <c r="E995" s="2"/>
    </row>
    <row r="996" ht="15.75" customHeight="1">
      <c r="A996" s="2"/>
      <c r="B996" s="2"/>
      <c r="C996" s="2"/>
      <c r="D996" s="2"/>
      <c r="E996" s="2"/>
    </row>
    <row r="997" ht="15.75" customHeight="1">
      <c r="A997" s="2"/>
      <c r="B997" s="2"/>
      <c r="C997" s="2"/>
      <c r="D997" s="2"/>
      <c r="E997" s="2"/>
    </row>
    <row r="998" ht="15.75" customHeight="1">
      <c r="A998" s="2"/>
      <c r="B998" s="2"/>
      <c r="C998" s="2"/>
      <c r="D998" s="2"/>
      <c r="E998" s="2"/>
    </row>
    <row r="999" ht="15.75" customHeight="1">
      <c r="A999" s="2"/>
      <c r="B999" s="2"/>
      <c r="C999" s="2"/>
      <c r="D999" s="2"/>
      <c r="E999" s="2"/>
    </row>
    <row r="1000" ht="15.75" customHeight="1">
      <c r="A1000" s="2"/>
      <c r="B1000" s="2"/>
      <c r="C1000" s="2"/>
      <c r="D1000" s="2"/>
      <c r="E1000" s="2"/>
    </row>
  </sheetData>
  <mergeCells count="8">
    <mergeCell ref="B19:E19"/>
    <mergeCell ref="B20:E20"/>
    <mergeCell ref="B21:E21"/>
    <mergeCell ref="B24:E24"/>
    <mergeCell ref="B25:E25"/>
    <mergeCell ref="B26:E26"/>
    <mergeCell ref="B27:E27"/>
    <mergeCell ref="B28:E28"/>
  </mergeCells>
  <printOptions/>
  <pageMargins bottom="1.0" footer="0.0" header="0.0" left="0.75" right="0.75" top="1.0"/>
  <pageSetup paperSize="9" orientation="portrait"/>
  <drawing r:id="rId1"/>
</worksheet>
</file>